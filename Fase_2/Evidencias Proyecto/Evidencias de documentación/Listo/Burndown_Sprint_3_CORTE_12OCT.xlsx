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gsus\Downloads\"/>
    </mc:Choice>
  </mc:AlternateContent>
  <xr:revisionPtr revIDLastSave="0" documentId="8_{BB6A4CE0-42B1-4DAE-9E46-3CC235E402B5}" xr6:coauthVersionLast="47" xr6:coauthVersionMax="47" xr10:uidLastSave="{00000000-0000-0000-0000-000000000000}"/>
  <bookViews>
    <workbookView xWindow="1770" yWindow="1770" windowWidth="28800" windowHeight="15345" xr2:uid="{00000000-000D-0000-FFFF-FFFF00000000}"/>
  </bookViews>
  <sheets>
    <sheet name="Sprint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L19" i="1"/>
  <c r="K19" i="1"/>
  <c r="J19" i="1"/>
  <c r="I19" i="1"/>
  <c r="H19" i="1"/>
  <c r="G19" i="1"/>
  <c r="F19" i="1"/>
  <c r="E19" i="1"/>
  <c r="D19" i="1"/>
  <c r="C19" i="1"/>
  <c r="C21" i="1" s="1"/>
  <c r="P27" i="1" s="1"/>
  <c r="B19" i="1"/>
  <c r="O40" i="1" l="1"/>
  <c r="P26" i="1"/>
  <c r="B23" i="1"/>
  <c r="D21" i="1"/>
  <c r="C23" i="1" l="1"/>
  <c r="Q27" i="1" s="1"/>
  <c r="D23" i="1"/>
  <c r="Q28" i="1" s="1"/>
  <c r="E23" i="1"/>
  <c r="Q29" i="1" s="1"/>
  <c r="F23" i="1"/>
  <c r="Q30" i="1" s="1"/>
  <c r="G23" i="1"/>
  <c r="Q31" i="1" s="1"/>
  <c r="H23" i="1"/>
  <c r="Q32" i="1" s="1"/>
  <c r="I23" i="1"/>
  <c r="Q33" i="1" s="1"/>
  <c r="J23" i="1"/>
  <c r="Q34" i="1" s="1"/>
  <c r="K23" i="1"/>
  <c r="Q35" i="1" s="1"/>
  <c r="L23" i="1"/>
  <c r="Q36" i="1" s="1"/>
  <c r="Q26" i="1"/>
  <c r="E21" i="1"/>
  <c r="P28" i="1"/>
  <c r="F21" i="1" l="1"/>
  <c r="P29" i="1"/>
  <c r="G21" i="1" l="1"/>
  <c r="P30" i="1"/>
  <c r="H21" i="1" l="1"/>
  <c r="P31" i="1"/>
  <c r="I21" i="1" l="1"/>
  <c r="P32" i="1"/>
  <c r="J21" i="1" l="1"/>
  <c r="P33" i="1"/>
  <c r="K21" i="1" l="1"/>
  <c r="P34" i="1"/>
  <c r="L21" i="1" l="1"/>
  <c r="P36" i="1" s="1"/>
  <c r="P35" i="1"/>
</calcChain>
</file>

<file path=xl/sharedStrings.xml><?xml version="1.0" encoding="utf-8"?>
<sst xmlns="http://schemas.openxmlformats.org/spreadsheetml/2006/main" count="55" uniqueCount="55">
  <si>
    <t>Historias de usuario</t>
  </si>
  <si>
    <t>Horas estimadas</t>
  </si>
  <si>
    <t>Momento</t>
  </si>
  <si>
    <t>Ideal (h)</t>
  </si>
  <si>
    <t>Inicio</t>
  </si>
  <si>
    <t>SIGFQ Burndown Sprint 3</t>
  </si>
  <si>
    <t>05/10/2026 al 19/10/2026 | Corte previsto 12/10/2026 | En desarrollo | 11 HU y 66 tareas</t>
  </si>
  <si>
    <t>Registro diario real conciliado (pendiente)</t>
  </si>
  <si>
    <t>05/10
2026</t>
  </si>
  <si>
    <t>06/10
2026</t>
  </si>
  <si>
    <t>07/10
2026</t>
  </si>
  <si>
    <t>08/10
2026</t>
  </si>
  <si>
    <t>09/10
2026</t>
  </si>
  <si>
    <t>13/10
2026</t>
  </si>
  <si>
    <t>14/10
2026</t>
  </si>
  <si>
    <t>15/10
2026</t>
  </si>
  <si>
    <t>16/10
2026</t>
  </si>
  <si>
    <t>19/10
2026</t>
  </si>
  <si>
    <t>E5-H1 · Como Vendedor / Cajero, necesito buscar o escanear productos en el POS, con la finalidad de agregar rápidamente productos disponibles a una venta.</t>
  </si>
  <si>
    <t>E5-H2 · Como Vendedor / Cajero, necesito aplicar automáticamente las promociones vigentes, con la finalidad de cobrar el precio correcto sin descuentos manuales.</t>
  </si>
  <si>
    <t>E5-H5 · Como Vendedor / Cajero, necesito abrir y cerrar caja registrando sus indicadores, con la finalidad de controlar los resultados de la jornada o turno.</t>
  </si>
  <si>
    <t>E5-H3 · Como Vendedor / Cajero, necesito finalizar una venta con el medio de pago correspondiente, con la finalidad de registrar la operación y actualizar el inventario central.</t>
  </si>
  <si>
    <t>E5-H4 · Como Vendedor / Cajero, necesito generar un comprobante interno de venta, con la finalidad de entregar respaldo de la operación al cliente.</t>
  </si>
  <si>
    <t>E5-H6 · Como Administrador, necesito registrar anulaciones o devoluciones vinculadas a una venta, con la finalidad de corregir operaciones manteniendo historial y control.</t>
  </si>
  <si>
    <t>E6-H1 · Como Visitante / Cliente, necesito consultar el catálogo online y la disponibilidad por sucursal, con la finalidad de conocer los productos antes de comprar o acudir a la farmacia.</t>
  </si>
  <si>
    <t>E6-H2 · Como Cliente, necesito registrarme e iniciar sesión con datos mínimos, con la finalidad de acceder a mis pedidos online.</t>
  </si>
  <si>
    <t>E6-H3 · Como Invitado, necesito comprar sin crear una cuenta, con la finalidad de completar la compra de manera simple.</t>
  </si>
  <si>
    <t>E6-H4 · Como Cliente / Invitado, necesito gestionar el carrito y seleccionar la sucursal de retiro, con la finalidad de definir qué comprar y dónde retirar.</t>
  </si>
  <si>
    <t>E6-H5 · Como Cliente registrado, necesito consultar el historial de mis pedidos online, con la finalidad de revisar estados y compras anteriores.</t>
  </si>
  <si>
    <t>Horas reales por fecha</t>
  </si>
  <si>
    <t>Saldo con fechas conciliadas</t>
  </si>
  <si>
    <t>Referencia ideal de estimación</t>
  </si>
  <si>
    <t>SIGFQ CAPSTONE_004D Duoc UC | Revisión 10/10/2026; corte previsto 12/10/2026.</t>
  </si>
  <si>
    <t>Saldo por fechas conciliadas (h)</t>
  </si>
  <si>
    <t>Fuente: Sprint Backlog 3 adjunto y comunicación del equipo. 90 h estimadas y 67,75 h reales totales comunicadas.</t>
  </si>
  <si>
    <t>No existe distribución diaria conciliada. Se conserva únicamente el punto inicial verificable de 90 h en la serie de seguimiento.</t>
  </si>
  <si>
    <t>05/10</t>
  </si>
  <si>
    <t>Solo el inicio de 90 h está fechado y comprobado. No hay curva diaria real hasta conciliar la distribución.</t>
  </si>
  <si>
    <t>06/10</t>
  </si>
  <si>
    <t>22,25 h de diferencia frente a estimación. No se ubica ese saldo en una fecha de ejecución inventada.</t>
  </si>
  <si>
    <t>07/10</t>
  </si>
  <si>
    <t>El origen contiene 23,75 h distribuidas después del corte. No se incorporan como ejecución futura.</t>
  </si>
  <si>
    <t>08/10</t>
  </si>
  <si>
    <t>Registrar horas auténticas en C5:L15. #N/A en el soporte del gráfico significa sin dato; no equivale a cero.</t>
  </si>
  <si>
    <t>09/10</t>
  </si>
  <si>
    <t>E6-H3 parcial sin pedidos reales; E6-H5 incompleta y dependiente de E7-H1. Sprint 3 En desarrollo; aceptación PO no confirmada.</t>
  </si>
  <si>
    <t>13/10</t>
  </si>
  <si>
    <t>14/10</t>
  </si>
  <si>
    <t>15/10</t>
  </si>
  <si>
    <t>16/10</t>
  </si>
  <si>
    <t>19/10</t>
  </si>
  <si>
    <t>Consumo comunicado (h)</t>
  </si>
  <si>
    <t>Diferencia (h)</t>
  </si>
  <si>
    <t>Fecha de ejecución</t>
  </si>
  <si>
    <t>Por conciliar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</si>
</sst>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0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rgb="FFD0CECE"/>
      </patternFill>
    </fill>
    <fill>
      <patternFill patternType="solid">
        <fgColor rgb="FFE7E6E6"/>
      </patternFill>
    </fill>
    <fill>
      <patternFill patternType="solid">
        <fgColor rgb="FFDCE6F1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6" xfId="0" applyFont="1" applyFill="1" applyBorder="1" applyAlignment="1">
      <alignment wrapText="1"/>
    </xf>
    <xf numFmtId="0" fontId="2" fillId="3" borderId="7" xfId="0" applyFont="1" applyFill="1" applyBorder="1" applyAlignment="1">
      <alignment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vertical="center" wrapText="1"/>
    </xf>
    <xf numFmtId="0" fontId="2" fillId="0" borderId="8" xfId="0" applyFont="1" applyBorder="1"/>
    <xf numFmtId="0" fontId="2" fillId="0" borderId="1" xfId="0" applyFont="1" applyBorder="1"/>
    <xf numFmtId="0" fontId="2" fillId="0" borderId="7" xfId="0" applyFont="1" applyBorder="1" applyAlignment="1">
      <alignment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5" xfId="0" applyFont="1" applyBorder="1"/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/>
    <xf numFmtId="0" fontId="3" fillId="4" borderId="11" xfId="0" applyFont="1" applyFill="1" applyBorder="1" applyAlignment="1">
      <alignment wrapText="1"/>
    </xf>
    <xf numFmtId="164" fontId="3" fillId="4" borderId="11" xfId="0" applyNumberFormat="1" applyFont="1" applyFill="1" applyBorder="1" applyAlignment="1">
      <alignment horizontal="center" wrapText="1"/>
    </xf>
    <xf numFmtId="164" fontId="3" fillId="4" borderId="11" xfId="0" applyNumberFormat="1" applyFont="1" applyFill="1" applyBorder="1" applyAlignment="1">
      <alignment wrapText="1"/>
    </xf>
    <xf numFmtId="0" fontId="3" fillId="5" borderId="11" xfId="0" applyFont="1" applyFill="1" applyBorder="1" applyAlignment="1">
      <alignment wrapText="1"/>
    </xf>
    <xf numFmtId="164" fontId="3" fillId="5" borderId="11" xfId="0" applyNumberFormat="1" applyFont="1" applyFill="1" applyBorder="1" applyAlignment="1">
      <alignment horizontal="center" wrapText="1"/>
    </xf>
    <xf numFmtId="164" fontId="3" fillId="5" borderId="11" xfId="0" applyNumberFormat="1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3" fillId="2" borderId="11" xfId="0" applyFont="1" applyFill="1" applyBorder="1"/>
    <xf numFmtId="0" fontId="6" fillId="0" borderId="0" xfId="0" applyFon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5" xfId="0" applyFont="1" applyBorder="1"/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L" sz="975"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Sprint 3 Referencia ideal y seguimiento por conciliar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Inicio y seguimiento conciliado</c:v>
          </c:tx>
          <c:spPr>
            <a:ln w="28575" cmpd="sng">
              <a:solidFill>
                <a:srgbClr val="4472C4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cat>
            <c:strRef>
              <c:f>'Sprint 3'!$O$26:$O$36</c:f>
              <c:strCache>
                <c:ptCount val="11"/>
                <c:pt idx="0">
                  <c:v>Inicio</c:v>
                </c:pt>
                <c:pt idx="1">
                  <c:v>05/10</c:v>
                </c:pt>
                <c:pt idx="2">
                  <c:v>06/10</c:v>
                </c:pt>
                <c:pt idx="3">
                  <c:v>07/10</c:v>
                </c:pt>
                <c:pt idx="4">
                  <c:v>08/10</c:v>
                </c:pt>
                <c:pt idx="5">
                  <c:v>09/10</c:v>
                </c:pt>
                <c:pt idx="6">
                  <c:v>13/10</c:v>
                </c:pt>
                <c:pt idx="7">
                  <c:v>14/10</c:v>
                </c:pt>
                <c:pt idx="8">
                  <c:v>15/10</c:v>
                </c:pt>
                <c:pt idx="9">
                  <c:v>16/10</c:v>
                </c:pt>
                <c:pt idx="10">
                  <c:v>19/10</c:v>
                </c:pt>
              </c:strCache>
            </c:strRef>
          </c:cat>
          <c:val>
            <c:numRef>
              <c:f>'Sprint 3'!$P$26:$P$36</c:f>
              <c:numCache>
                <c:formatCode>0.0</c:formatCode>
                <c:ptCount val="11"/>
                <c:pt idx="0">
                  <c:v>90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A-4385-B69C-87097F34FF50}"/>
            </c:ext>
          </c:extLst>
        </c:ser>
        <c:ser>
          <c:idx val="1"/>
          <c:order val="1"/>
          <c:tx>
            <c:v>Referencia ideal planificada</c:v>
          </c:tx>
          <c:spPr>
            <a:ln w="19050" cmpd="sng">
              <a:solidFill>
                <a:srgbClr val="ED7D31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3'!$O$26:$O$36</c:f>
              <c:strCache>
                <c:ptCount val="11"/>
                <c:pt idx="0">
                  <c:v>Inicio</c:v>
                </c:pt>
                <c:pt idx="1">
                  <c:v>05/10</c:v>
                </c:pt>
                <c:pt idx="2">
                  <c:v>06/10</c:v>
                </c:pt>
                <c:pt idx="3">
                  <c:v>07/10</c:v>
                </c:pt>
                <c:pt idx="4">
                  <c:v>08/10</c:v>
                </c:pt>
                <c:pt idx="5">
                  <c:v>09/10</c:v>
                </c:pt>
                <c:pt idx="6">
                  <c:v>13/10</c:v>
                </c:pt>
                <c:pt idx="7">
                  <c:v>14/10</c:v>
                </c:pt>
                <c:pt idx="8">
                  <c:v>15/10</c:v>
                </c:pt>
                <c:pt idx="9">
                  <c:v>16/10</c:v>
                </c:pt>
                <c:pt idx="10">
                  <c:v>19/10</c:v>
                </c:pt>
              </c:strCache>
            </c:strRef>
          </c:cat>
          <c:val>
            <c:numRef>
              <c:f>'Sprint 3'!$Q$26:$Q$36</c:f>
              <c:numCache>
                <c:formatCode>0.0</c:formatCode>
                <c:ptCount val="11"/>
                <c:pt idx="0">
                  <c:v>90</c:v>
                </c:pt>
                <c:pt idx="1">
                  <c:v>81</c:v>
                </c:pt>
                <c:pt idx="2">
                  <c:v>72</c:v>
                </c:pt>
                <c:pt idx="3">
                  <c:v>62.999999999999993</c:v>
                </c:pt>
                <c:pt idx="4">
                  <c:v>54</c:v>
                </c:pt>
                <c:pt idx="5">
                  <c:v>45</c:v>
                </c:pt>
                <c:pt idx="6">
                  <c:v>36</c:v>
                </c:pt>
                <c:pt idx="7">
                  <c:v>27.000000000000004</c:v>
                </c:pt>
                <c:pt idx="8">
                  <c:v>17.999999999999996</c:v>
                </c:pt>
                <c:pt idx="9">
                  <c:v>8.9999999999999982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2A-4385-B69C-87097F34F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268892"/>
        <c:axId val="1900987372"/>
      </c:lineChart>
      <c:catAx>
        <c:axId val="397268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Jornadas de la plantilla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sz="9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900987372"/>
        <c:crosses val="autoZero"/>
        <c:auto val="1"/>
        <c:lblAlgn val="ctr"/>
        <c:lblOffset val="100"/>
        <c:noMultiLvlLbl val="1"/>
      </c:catAx>
      <c:valAx>
        <c:axId val="1900987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s-CL"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Horas de referencia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sz="9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39726889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900" b="0" i="0">
              <a:solidFill>
                <a:srgbClr val="1A1A1A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142875</xdr:colOff>
      <xdr:row>4</xdr:row>
      <xdr:rowOff>0</xdr:rowOff>
    </xdr:from>
    <xdr:ext cx="4695825" cy="8562975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pane ySplit="4" topLeftCell="A30" activePane="bottomLeft" state="frozen"/>
      <selection pane="bottomLeft" activeCell="P27" sqref="P27"/>
    </sheetView>
  </sheetViews>
  <sheetFormatPr baseColWidth="10" defaultColWidth="14.42578125" defaultRowHeight="15" x14ac:dyDescent="0.25"/>
  <cols>
    <col min="1" max="1" width="49" customWidth="1"/>
    <col min="2" max="2" width="14" customWidth="1"/>
    <col min="3" max="12" width="11" customWidth="1"/>
    <col min="13" max="13" width="3.42578125" customWidth="1"/>
    <col min="14" max="14" width="28" customWidth="1"/>
    <col min="15" max="15" width="23" customWidth="1"/>
    <col min="16" max="17" width="13" customWidth="1"/>
    <col min="18" max="22" width="3.42578125" customWidth="1"/>
    <col min="23" max="26" width="10.7109375" customWidth="1"/>
  </cols>
  <sheetData>
    <row r="1" spans="1:23" ht="30" customHeight="1" x14ac:dyDescent="0.35">
      <c r="A1" s="27" t="s">
        <v>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23" ht="24" customHeight="1" x14ac:dyDescent="0.25">
      <c r="A2" s="29" t="s">
        <v>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23" ht="24.75" customHeight="1" x14ac:dyDescent="0.25">
      <c r="A3" s="30" t="s">
        <v>0</v>
      </c>
      <c r="B3" s="30" t="s">
        <v>1</v>
      </c>
      <c r="C3" s="32" t="s">
        <v>7</v>
      </c>
      <c r="D3" s="33"/>
      <c r="E3" s="33"/>
      <c r="F3" s="33"/>
      <c r="G3" s="33"/>
      <c r="H3" s="33"/>
      <c r="I3" s="33"/>
      <c r="J3" s="33"/>
      <c r="K3" s="33"/>
      <c r="L3" s="34"/>
    </row>
    <row r="4" spans="1:23" ht="36" customHeight="1" x14ac:dyDescent="0.25">
      <c r="A4" s="31"/>
      <c r="B4" s="31"/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</row>
    <row r="5" spans="1:23" ht="65.099999999999994" customHeight="1" x14ac:dyDescent="0.25">
      <c r="A5" s="2" t="s">
        <v>18</v>
      </c>
      <c r="B5" s="3">
        <v>9</v>
      </c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65.099999999999994" customHeight="1" x14ac:dyDescent="0.25">
      <c r="A6" s="7" t="s">
        <v>19</v>
      </c>
      <c r="B6" s="8">
        <v>8</v>
      </c>
      <c r="C6" s="4"/>
      <c r="D6" s="4"/>
      <c r="E6" s="4"/>
      <c r="F6" s="4"/>
      <c r="G6" s="4"/>
      <c r="H6" s="4"/>
      <c r="I6" s="4"/>
      <c r="J6" s="4"/>
      <c r="K6" s="4"/>
      <c r="L6" s="4"/>
      <c r="W6" s="9"/>
    </row>
    <row r="7" spans="1:23" ht="65.099999999999994" customHeight="1" x14ac:dyDescent="0.25">
      <c r="A7" s="2" t="s">
        <v>20</v>
      </c>
      <c r="B7" s="3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W7" s="9"/>
    </row>
    <row r="8" spans="1:23" ht="65.099999999999994" customHeight="1" x14ac:dyDescent="0.25">
      <c r="A8" s="7" t="s">
        <v>21</v>
      </c>
      <c r="B8" s="8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W8" s="9"/>
    </row>
    <row r="9" spans="1:23" ht="65.099999999999994" customHeight="1" x14ac:dyDescent="0.25">
      <c r="A9" s="7" t="s">
        <v>22</v>
      </c>
      <c r="B9" s="8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W9" s="9"/>
    </row>
    <row r="10" spans="1:23" ht="65.099999999999994" customHeight="1" x14ac:dyDescent="0.25">
      <c r="A10" s="7" t="s">
        <v>23</v>
      </c>
      <c r="B10" s="8">
        <v>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65.099999999999994" customHeight="1" x14ac:dyDescent="0.25">
      <c r="A11" s="7" t="s">
        <v>24</v>
      </c>
      <c r="B11" s="4">
        <v>8</v>
      </c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3" ht="65.099999999999994" customHeight="1" x14ac:dyDescent="0.25">
      <c r="A12" s="7" t="s">
        <v>25</v>
      </c>
      <c r="B12" s="4">
        <v>8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23" ht="65.099999999999994" customHeight="1" x14ac:dyDescent="0.25">
      <c r="A13" s="7" t="s">
        <v>26</v>
      </c>
      <c r="B13" s="4">
        <v>7</v>
      </c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23" ht="65.099999999999994" customHeight="1" x14ac:dyDescent="0.25">
      <c r="A14" s="7" t="s">
        <v>27</v>
      </c>
      <c r="B14" s="4">
        <v>10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23" ht="65.099999999999994" customHeight="1" x14ac:dyDescent="0.25">
      <c r="A15" s="7" t="s">
        <v>28</v>
      </c>
      <c r="B15" s="4">
        <v>7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23" ht="42.75" customHeight="1" x14ac:dyDescent="0.25">
      <c r="A16" s="7"/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7" ht="42.75" customHeight="1" x14ac:dyDescent="0.25">
      <c r="A17" s="7"/>
      <c r="B17" s="8"/>
      <c r="C17" s="4"/>
      <c r="D17" s="4"/>
      <c r="E17" s="4"/>
      <c r="F17" s="4"/>
      <c r="G17" s="8"/>
      <c r="H17" s="4"/>
      <c r="I17" s="4"/>
      <c r="J17" s="4"/>
      <c r="K17" s="4"/>
      <c r="L17" s="4"/>
    </row>
    <row r="18" spans="1:17" x14ac:dyDescent="0.25">
      <c r="B18" s="12"/>
      <c r="C18" s="13"/>
      <c r="D18" s="13"/>
      <c r="E18" s="13"/>
      <c r="F18" s="13"/>
      <c r="G18" s="12"/>
      <c r="H18" s="13"/>
      <c r="I18" s="13"/>
      <c r="J18" s="13"/>
      <c r="K18" s="13"/>
      <c r="L18" s="13"/>
    </row>
    <row r="19" spans="1:17" ht="31.5" customHeight="1" x14ac:dyDescent="0.25">
      <c r="A19" s="14" t="s">
        <v>29</v>
      </c>
      <c r="B19" s="15" t="str">
        <f>IF(COUNT(C5:L15)=0,"",SUM(C5:L15))</f>
        <v/>
      </c>
      <c r="C19" s="16" t="str">
        <f t="shared" ref="C19:L19" si="0">IF(COUNT(C5:C15)=0,"",SUM(C5:C15))</f>
        <v/>
      </c>
      <c r="D19" s="16" t="str">
        <f t="shared" si="0"/>
        <v/>
      </c>
      <c r="E19" s="16" t="str">
        <f t="shared" si="0"/>
        <v/>
      </c>
      <c r="F19" s="16" t="str">
        <f t="shared" si="0"/>
        <v/>
      </c>
      <c r="G19" s="15" t="str">
        <f t="shared" si="0"/>
        <v/>
      </c>
      <c r="H19" s="16" t="str">
        <f t="shared" si="0"/>
        <v/>
      </c>
      <c r="I19" s="16" t="str">
        <f t="shared" si="0"/>
        <v/>
      </c>
      <c r="J19" s="16" t="str">
        <f t="shared" si="0"/>
        <v/>
      </c>
      <c r="K19" s="16" t="str">
        <f t="shared" si="0"/>
        <v/>
      </c>
      <c r="L19" s="16" t="str">
        <f t="shared" si="0"/>
        <v/>
      </c>
    </row>
    <row r="20" spans="1:17" x14ac:dyDescent="0.25">
      <c r="B20" s="12"/>
      <c r="C20" s="13"/>
      <c r="D20" s="13"/>
      <c r="E20" s="13"/>
      <c r="F20" s="13"/>
      <c r="G20" s="12"/>
      <c r="H20" s="13"/>
      <c r="I20" s="13"/>
      <c r="J20" s="13"/>
      <c r="K20" s="13"/>
      <c r="L20" s="13"/>
    </row>
    <row r="21" spans="1:17" ht="31.5" customHeight="1" x14ac:dyDescent="0.25">
      <c r="A21" s="17" t="s">
        <v>30</v>
      </c>
      <c r="B21" s="18">
        <f>SUM(B5:B15)</f>
        <v>90</v>
      </c>
      <c r="C21" s="19" t="str">
        <f t="shared" ref="C21:L21" si="1">IF(OR(C19="",B21=""),"",B21-C19)</f>
        <v/>
      </c>
      <c r="D21" s="19" t="str">
        <f t="shared" si="1"/>
        <v/>
      </c>
      <c r="E21" s="19" t="str">
        <f t="shared" si="1"/>
        <v/>
      </c>
      <c r="F21" s="19" t="str">
        <f t="shared" si="1"/>
        <v/>
      </c>
      <c r="G21" s="18" t="str">
        <f t="shared" si="1"/>
        <v/>
      </c>
      <c r="H21" s="19" t="str">
        <f t="shared" si="1"/>
        <v/>
      </c>
      <c r="I21" s="19" t="str">
        <f t="shared" si="1"/>
        <v/>
      </c>
      <c r="J21" s="19" t="str">
        <f t="shared" si="1"/>
        <v/>
      </c>
      <c r="K21" s="19" t="str">
        <f t="shared" si="1"/>
        <v/>
      </c>
      <c r="L21" s="19" t="str">
        <f t="shared" si="1"/>
        <v/>
      </c>
    </row>
    <row r="22" spans="1:17" ht="15.75" customHeight="1" x14ac:dyDescent="0.25">
      <c r="B22" s="12"/>
      <c r="C22" s="13"/>
      <c r="D22" s="13"/>
      <c r="E22" s="13"/>
      <c r="F22" s="13"/>
      <c r="G22" s="12"/>
      <c r="H22" s="13"/>
      <c r="I22" s="13"/>
      <c r="J22" s="13"/>
      <c r="K22" s="13"/>
      <c r="L22" s="13"/>
    </row>
    <row r="23" spans="1:17" ht="31.5" customHeight="1" x14ac:dyDescent="0.25">
      <c r="A23" s="14" t="s">
        <v>31</v>
      </c>
      <c r="B23" s="15">
        <f>B21</f>
        <v>90</v>
      </c>
      <c r="C23" s="16">
        <f>$B$23*(1-1/10)</f>
        <v>81</v>
      </c>
      <c r="D23" s="16">
        <f>$B$23*(1-2/10)</f>
        <v>72</v>
      </c>
      <c r="E23" s="16">
        <f>$B$23*(1-3/10)</f>
        <v>62.999999999999993</v>
      </c>
      <c r="F23" s="16">
        <f>$B$23*(1-4/10)</f>
        <v>54</v>
      </c>
      <c r="G23" s="16">
        <f>$B$23*(1-5/10)</f>
        <v>45</v>
      </c>
      <c r="H23" s="16">
        <f>$B$23*(1-6/10)</f>
        <v>36</v>
      </c>
      <c r="I23" s="16">
        <f>$B$23*(1-7/10)</f>
        <v>27.000000000000004</v>
      </c>
      <c r="J23" s="16">
        <f>$B$23*(1-8/10)</f>
        <v>17.999999999999996</v>
      </c>
      <c r="K23" s="16">
        <f>$B$23*(1-9/10)</f>
        <v>8.9999999999999982</v>
      </c>
      <c r="L23" s="16">
        <f>$B$23*(1-10/10)</f>
        <v>0</v>
      </c>
    </row>
    <row r="24" spans="1:17" ht="15.75" customHeight="1" x14ac:dyDescent="0.25">
      <c r="B24" s="20"/>
    </row>
    <row r="25" spans="1:17" ht="45.95" customHeight="1" x14ac:dyDescent="0.25">
      <c r="A25" s="25" t="s">
        <v>32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O25" s="21" t="s">
        <v>2</v>
      </c>
      <c r="P25" s="21" t="s">
        <v>33</v>
      </c>
      <c r="Q25" s="21" t="s">
        <v>3</v>
      </c>
    </row>
    <row r="26" spans="1:17" ht="45.95" customHeight="1" x14ac:dyDescent="0.25">
      <c r="A26" s="25" t="s">
        <v>34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O26" s="22" t="s">
        <v>4</v>
      </c>
      <c r="P26" s="13">
        <f>B21</f>
        <v>90</v>
      </c>
      <c r="Q26" s="13">
        <f>B23</f>
        <v>90</v>
      </c>
    </row>
    <row r="27" spans="1:17" ht="45.95" customHeight="1" x14ac:dyDescent="0.25">
      <c r="A27" s="25" t="s">
        <v>35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O27" s="22" t="s">
        <v>36</v>
      </c>
      <c r="P27" s="13" t="e">
        <f>IF(C21="",NA(),C21)</f>
        <v>#N/A</v>
      </c>
      <c r="Q27" s="13">
        <f>C23</f>
        <v>81</v>
      </c>
    </row>
    <row r="28" spans="1:17" ht="45.95" customHeight="1" x14ac:dyDescent="0.25">
      <c r="A28" s="25" t="s">
        <v>37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O28" s="22" t="s">
        <v>38</v>
      </c>
      <c r="P28" s="13" t="e">
        <f>IF(D21="",NA(),D21)</f>
        <v>#N/A</v>
      </c>
      <c r="Q28" s="13">
        <f>D23</f>
        <v>72</v>
      </c>
    </row>
    <row r="29" spans="1:17" ht="45.95" customHeight="1" x14ac:dyDescent="0.25">
      <c r="A29" s="25" t="s">
        <v>39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O29" s="22" t="s">
        <v>40</v>
      </c>
      <c r="P29" s="13" t="e">
        <f>IF(E21="",NA(),E21)</f>
        <v>#N/A</v>
      </c>
      <c r="Q29" s="13">
        <f>E23</f>
        <v>62.999999999999993</v>
      </c>
    </row>
    <row r="30" spans="1:17" ht="45.95" customHeight="1" x14ac:dyDescent="0.25">
      <c r="A30" s="25" t="s">
        <v>41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O30" s="22" t="s">
        <v>42</v>
      </c>
      <c r="P30" s="13" t="e">
        <f>IF(F21="",NA(),F21)</f>
        <v>#N/A</v>
      </c>
      <c r="Q30" s="13">
        <f>F23</f>
        <v>54</v>
      </c>
    </row>
    <row r="31" spans="1:17" ht="45.95" customHeight="1" x14ac:dyDescent="0.25">
      <c r="A31" s="26" t="s">
        <v>43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O31" s="22" t="s">
        <v>44</v>
      </c>
      <c r="P31" s="13" t="e">
        <f>IF(G21="",NA(),G21)</f>
        <v>#N/A</v>
      </c>
      <c r="Q31" s="13">
        <f>G23</f>
        <v>45</v>
      </c>
    </row>
    <row r="32" spans="1:17" ht="45.95" customHeight="1" x14ac:dyDescent="0.25">
      <c r="A32" s="26" t="s">
        <v>45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O32" s="22" t="s">
        <v>46</v>
      </c>
      <c r="P32" s="13" t="e">
        <f>IF(H21="",NA(),H21)</f>
        <v>#N/A</v>
      </c>
      <c r="Q32" s="13">
        <f>H23</f>
        <v>36</v>
      </c>
    </row>
    <row r="33" spans="14:17" ht="15.75" customHeight="1" x14ac:dyDescent="0.25">
      <c r="O33" s="22" t="s">
        <v>47</v>
      </c>
      <c r="P33" s="13" t="e">
        <f>IF(I21="",NA(),I21)</f>
        <v>#N/A</v>
      </c>
      <c r="Q33" s="13">
        <f>I23</f>
        <v>27.000000000000004</v>
      </c>
    </row>
    <row r="34" spans="14:17" ht="15.75" customHeight="1" x14ac:dyDescent="0.25">
      <c r="O34" s="22" t="s">
        <v>48</v>
      </c>
      <c r="P34" s="13" t="e">
        <f>IF(J21="",NA(),J21)</f>
        <v>#N/A</v>
      </c>
      <c r="Q34" s="13">
        <f>J23</f>
        <v>17.999999999999996</v>
      </c>
    </row>
    <row r="35" spans="14:17" ht="15.75" customHeight="1" x14ac:dyDescent="0.25">
      <c r="O35" s="22" t="s">
        <v>49</v>
      </c>
      <c r="P35" s="13" t="e">
        <f>IF(K21="",NA(),K21)</f>
        <v>#N/A</v>
      </c>
      <c r="Q35" s="13">
        <f>K23</f>
        <v>8.9999999999999982</v>
      </c>
    </row>
    <row r="36" spans="14:17" ht="15.75" customHeight="1" x14ac:dyDescent="0.25">
      <c r="O36" s="22" t="s">
        <v>50</v>
      </c>
      <c r="P36" s="13" t="e">
        <f>IF(L21="",NA(),L21)</f>
        <v>#N/A</v>
      </c>
      <c r="Q36" s="13">
        <f>L23</f>
        <v>0</v>
      </c>
    </row>
    <row r="37" spans="14:17" ht="15.75" customHeight="1" x14ac:dyDescent="0.25"/>
    <row r="38" spans="14:17" ht="15.75" customHeight="1" x14ac:dyDescent="0.25"/>
    <row r="39" spans="14:17" ht="27.95" customHeight="1" x14ac:dyDescent="0.25">
      <c r="N39" s="23" t="s">
        <v>51</v>
      </c>
      <c r="O39" s="24">
        <v>67.75</v>
      </c>
    </row>
    <row r="40" spans="14:17" ht="27.95" customHeight="1" x14ac:dyDescent="0.25">
      <c r="N40" s="23" t="s">
        <v>52</v>
      </c>
      <c r="O40" s="24">
        <f>B21-O39</f>
        <v>22.25</v>
      </c>
    </row>
    <row r="41" spans="14:17" ht="27.95" customHeight="1" x14ac:dyDescent="0.25">
      <c r="N41" s="23" t="s">
        <v>53</v>
      </c>
      <c r="O41" s="23" t="s">
        <v>54</v>
      </c>
    </row>
    <row r="42" spans="14:17" ht="15.75" customHeight="1" x14ac:dyDescent="0.25"/>
    <row r="43" spans="14:17" ht="15.75" customHeight="1" x14ac:dyDescent="0.25"/>
    <row r="44" spans="14:17" ht="15.75" customHeight="1" x14ac:dyDescent="0.25"/>
    <row r="45" spans="14:17" ht="15.75" customHeight="1" x14ac:dyDescent="0.25"/>
    <row r="46" spans="14:17" ht="15.75" customHeight="1" x14ac:dyDescent="0.25"/>
    <row r="47" spans="14:17" ht="15.75" customHeight="1" x14ac:dyDescent="0.25"/>
    <row r="48" spans="14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31:L31"/>
    <mergeCell ref="A32:L32"/>
    <mergeCell ref="A27:L27"/>
    <mergeCell ref="A28:L28"/>
    <mergeCell ref="A29:L29"/>
    <mergeCell ref="A30:L30"/>
    <mergeCell ref="A1:L1"/>
    <mergeCell ref="A2:L2"/>
    <mergeCell ref="A3:A4"/>
    <mergeCell ref="B3:B4"/>
    <mergeCell ref="C3:L3"/>
    <mergeCell ref="A25:L25"/>
    <mergeCell ref="A26:L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Lozano Alvarez</dc:creator>
  <cp:lastModifiedBy>JESUS GILBERTO LOZANO ALVAREZ</cp:lastModifiedBy>
  <dcterms:created xsi:type="dcterms:W3CDTF">2026-10-10T15:09:32Z</dcterms:created>
  <dcterms:modified xsi:type="dcterms:W3CDTF">2026-10-10T15:09:32Z</dcterms:modified>
</cp:coreProperties>
</file>