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Backlog 1" sheetId="1" r:id="rId4"/>
    <sheet state="visible" name="Resumen Sprint 1" sheetId="2" r:id="rId5"/>
    <sheet state="visible" name="Instructivo" sheetId="3" r:id="rId6"/>
  </sheets>
  <definedNames/>
  <calcPr/>
  <extLst>
    <ext uri="GoogleSheetsCustomDataVersion2">
      <go:sheetsCustomData xmlns:go="http://customooxmlschemas.google.com/" r:id="rId7" roundtripDataChecksum="U/DnyLu5/mg9LbKpFKEZUo4wbe988ZgvjcxjO1AwVuE="/>
    </ext>
  </extLst>
</workbook>
</file>

<file path=xl/sharedStrings.xml><?xml version="1.0" encoding="utf-8"?>
<sst xmlns="http://schemas.openxmlformats.org/spreadsheetml/2006/main" count="163" uniqueCount="95">
  <si>
    <t>Lista de tareas de la iteración (Sprint Backlog): Instructivo</t>
  </si>
  <si>
    <t>RESUMEN — SPRINT 1 SIGFQ</t>
  </si>
  <si>
    <t>SIGFQ — Sprint 1 | 14/09/2026 al 18/09/2026 | 5 días hábiles</t>
  </si>
  <si>
    <t>Elaborado por: pmoinformatica.com</t>
  </si>
  <si>
    <t>Columna</t>
  </si>
  <si>
    <t>Instrucciones</t>
  </si>
  <si>
    <t>Identificador (ID) de ítem de Product Backlog</t>
  </si>
  <si>
    <t>Código que referencia la historia de usuario comprometida en el Sprint.</t>
  </si>
  <si>
    <t>Enunciado del ítem de Product Backlog</t>
  </si>
  <si>
    <t>Enunciado de la historia de usuario según la documentación vigente del proyecto SIGFQ.</t>
  </si>
  <si>
    <t>Tarea</t>
  </si>
  <si>
    <t>Sprint 1: base funcional de E1 — Usuarios, acceso y sucursales | 14/09/2026 al 18/09/2026</t>
  </si>
  <si>
    <t>Actividad concreta necesaria para implementar la Historia de Usuario. Debe relacionarse directamente con su funcionalidad y, cuando corresponda, con sus escenarios y criterios de aceptación; no se utilizan tareas genéricas como Análisis, Diseño, Codificación o Implementación.</t>
  </si>
  <si>
    <t>Dueño / Voluntario</t>
  </si>
  <si>
    <t>Integrante del Scrum Team que toma responsabilidad de la tarea.</t>
  </si>
  <si>
    <t>Estatus</t>
  </si>
  <si>
    <t>Estado de la tarea: Por iniciar, En proceso, Hecho o Bloqueado.</t>
  </si>
  <si>
    <t>Horas estimadas totales</t>
  </si>
  <si>
    <t>Estimación inicial de esfuerzo de la tarea; puede ser refinada por el Scrum Team.</t>
  </si>
  <si>
    <t>ID</t>
  </si>
  <si>
    <t>Día 1 … Día 5</t>
  </si>
  <si>
    <t>Funcionalidad</t>
  </si>
  <si>
    <t>Registro diario de horas consumidas y restantes.</t>
  </si>
  <si>
    <t>Objetivo: Dejar operativa la base de identidad, acceso y contexto multisucursal del SIGFQ, permitiendo administrar usuarios internos, asignarles roles, permisos y una sucursal de trabajo, y autenticar su acceso de forma segura, de manera que los módulos posteriores puedan reutilizar esta estructura.</t>
  </si>
  <si>
    <t>Cons.</t>
  </si>
  <si>
    <t>Horas consumidas en la tarea durante el día.</t>
  </si>
  <si>
    <t>Orden lógico</t>
  </si>
  <si>
    <t>Rest.</t>
  </si>
  <si>
    <t>Horas restantes luego del consumo del día. Se calcula automáticamente.</t>
  </si>
  <si>
    <t>Estado inicial</t>
  </si>
  <si>
    <t>Total</t>
  </si>
  <si>
    <t>Integrante</t>
  </si>
  <si>
    <t>Suma de horas consumidas y saldo restante de cada tarea al finalizar el Sprint.</t>
  </si>
  <si>
    <t>Horas planificadas</t>
  </si>
  <si>
    <t>E1-H1</t>
  </si>
  <si>
    <t>Inicio de sesión interno</t>
  </si>
  <si>
    <t>Por iniciar</t>
  </si>
  <si>
    <t>Martín Rodríguez</t>
  </si>
  <si>
    <t>Identificador (ID)
de ítem de Product
Backlog</t>
  </si>
  <si>
    <t>Dueño /
Voluntario</t>
  </si>
  <si>
    <t>Horas estimadas
totales</t>
  </si>
  <si>
    <t>Día 1
Lun 14/09</t>
  </si>
  <si>
    <t>Día 2
Mar 15/09</t>
  </si>
  <si>
    <t>E1-H2</t>
  </si>
  <si>
    <t>Gestión de usuarios internos</t>
  </si>
  <si>
    <t>Jesús Lozano</t>
  </si>
  <si>
    <t>Día 3
Mié 16/09</t>
  </si>
  <si>
    <t>Día 4
Jue 17/09</t>
  </si>
  <si>
    <t>Día 5
Vie 18/09</t>
  </si>
  <si>
    <t>E1-H3</t>
  </si>
  <si>
    <t>Roles y permisos</t>
  </si>
  <si>
    <t>Andrés Alvarado</t>
  </si>
  <si>
    <t>E1-H4</t>
  </si>
  <si>
    <t>Asignación usuario-sucursal</t>
  </si>
  <si>
    <t>ACUERDOS DEL SPRINT</t>
  </si>
  <si>
    <t>Consumidas</t>
  </si>
  <si>
    <t>Restantes</t>
  </si>
  <si>
    <t>Duración</t>
  </si>
  <si>
    <t>Como usuario interno, necesito iniciar sesión en la plataforma, con la finalidad de acceder de forma segura a las funciones autorizadas.</t>
  </si>
  <si>
    <t>5 días hábiles, del 14/09/2026 al 18/09/2026.</t>
  </si>
  <si>
    <t>Implementar lógica de autenticación de usuarios internos en backend, validando credenciales y estado activo de la cuenta.</t>
  </si>
  <si>
    <t>Historias incluidas</t>
  </si>
  <si>
    <t xml:space="preserve">E1-H1 a E1-H4 con tareas desglosadas; E1-H5 completada en Sprint 1, sin tareas ni horas atribuidas en este registro.						
</t>
  </si>
  <si>
    <t xml:space="preserve">Inicio de sesión usuarios → roles/permisos → usuario-sucursal </t>
  </si>
  <si>
    <t>Seguimiento</t>
  </si>
  <si>
    <t>Registrar diariamente horas consumidas y restantes por cada tarea.</t>
  </si>
  <si>
    <t>Estructura</t>
  </si>
  <si>
    <t>Las tareas del Sprint se derivan de la funcionalidad y de los escenarios/criterios de aceptación de cada Historia de Usuario.</t>
  </si>
  <si>
    <t>Hecho</t>
  </si>
  <si>
    <t>Implementar generación y validación de sesión o token de autenticación seguro.</t>
  </si>
  <si>
    <t>Desarrollar la interfaz de inicio de sesión y manejo de mensajes de acceso válido o inválido.</t>
  </si>
  <si>
    <t>Integrar el inicio de sesión del frontend con el backend y mantener la sesión del usuario autenticado.</t>
  </si>
  <si>
    <t>Implementar y ejecutar pruebas para los escenarios de aceptación de E1-H1.</t>
  </si>
  <si>
    <t>Como Administrador, necesito crear, actualizar y desactivar usuarios internos, con la finalidad de mantener controlados los accesos del personal.</t>
  </si>
  <si>
    <t>Implementar la estructura y persistencia de usuarios internos en backend, considerando los datos necesarios para su creación, actualización, estado y posterior autenticación.</t>
  </si>
  <si>
    <t>Implementar las operaciones de backend para crear, actualizar y desactivar usuarios internos.</t>
  </si>
  <si>
    <t>Implementar validación de correo único y datos obligatorios al crear o actualizar usuarios.</t>
  </si>
  <si>
    <t>Desarrollar la interfaz administrativa para gestionar usuarios internos, permitiendo crear, editar y desactivar cuentas.</t>
  </si>
  <si>
    <t>Integrar la gestión de usuarios del frontend con el backend y manejar las respuestas de éxito o conflicto.</t>
  </si>
  <si>
    <t>Implementar y ejecutar pruebas para los escenarios de aceptación definidos en E1-H2.</t>
  </si>
  <si>
    <t>Como Administrador, necesito asignar roles y permisos a los usuarios, con la finalidad de restringir las operaciones según responsabilidad.</t>
  </si>
  <si>
    <t>Implementar la estructura y persistencia de roles y permisos, incluyendo los datos iniciales necesarios para el funcionamiento del Sprint.</t>
  </si>
  <si>
    <t>Implementar en backend la asignación y modificación de roles y permisos de un usuario interno.</t>
  </si>
  <si>
    <t>Implementar el control de autorización en backend para permitir o rechazar operaciones protegidas según los permisos del usuario autenticado.</t>
  </si>
  <si>
    <t>Desarrollar la interfaz administrativa para visualizar y asignar roles y permisos a un usuario.</t>
  </si>
  <si>
    <t>Integrar la gestión de roles y permisos del frontend con el backend.</t>
  </si>
  <si>
    <t>Implementar y ejecutar pruebas para los escenarios de aceptación definidos en E1-H3.</t>
  </si>
  <si>
    <t>Como Administrador, necesito asignar una sucursal a un usuario interno, con la finalidad de establecer su contexto de trabajo dentro del sistema multisucursal.</t>
  </si>
  <si>
    <t>Implementar la relación entre usuarios internos y sucursales en el modelo de datos y sus migraciones correspondientes.</t>
  </si>
  <si>
    <t>Implementar en backend la asignación y modificación de la sucursal asociada a un usuario interno.</t>
  </si>
  <si>
    <t>Incorporar la sucursal asignada dentro de la información de sesión/contexto del usuario autenticado.</t>
  </si>
  <si>
    <t>Desarrollar la interfaz administrativa para visualizar y modificar la sucursal asignada a un usuario.</t>
  </si>
  <si>
    <t>Integrar la asignación de sucursal del frontend con el backend y validar la información seleccionada.</t>
  </si>
  <si>
    <t>Implementar y ejecutar pruebas para los escenarios de aceptación definidos en E1-H4.</t>
  </si>
  <si>
    <t>TOTAL DEL SPRINT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</si>
</sst>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rgb="FF000000"/>
      <name val="Carlito"/>
      <scheme val="minor"/>
    </font>
    <font>
      <b/>
      <sz val="22.0"/>
      <color rgb="FF000000"/>
      <name val="Carlito"/>
    </font>
    <font>
      <b/>
      <sz val="16.0"/>
      <color rgb="FFFFFFFF"/>
      <name val="Carlito"/>
    </font>
    <font>
      <b/>
      <sz val="20.0"/>
      <color rgb="FFFFFFFF"/>
      <name val="Carlito"/>
    </font>
    <font/>
    <font>
      <b/>
      <sz val="11.0"/>
      <color rgb="FF244A7C"/>
      <name val="Carlito"/>
    </font>
    <font>
      <b/>
      <sz val="12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sz val="10.0"/>
      <color rgb="FF000000"/>
      <name val="Carlito"/>
    </font>
    <font>
      <b/>
      <sz val="13.0"/>
      <color rgb="FF244A7C"/>
      <name val="Carlito"/>
    </font>
    <font>
      <b/>
      <sz val="10.0"/>
      <color rgb="FFFFFFFF"/>
      <name val="Carlito"/>
    </font>
    <font>
      <b/>
      <sz val="9.0"/>
      <color rgb="FFFFFFFF"/>
      <name val="Carlito"/>
    </font>
    <font>
      <sz val="9.0"/>
      <color rgb="FF000000"/>
      <name val="Carlito"/>
    </font>
    <font>
      <b/>
      <sz val="11.0"/>
      <color theme="1"/>
      <name val="Carlito"/>
    </font>
    <font>
      <sz val="9.0"/>
      <color theme="1"/>
      <name val="Carlito"/>
    </font>
    <font>
      <b/>
      <sz val="9.0"/>
      <color rgb="FF000000"/>
      <name val="Carlito"/>
    </font>
  </fonts>
  <fills count="8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8E4BC"/>
        <bgColor rgb="FFD8E4BC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14">
    <border/>
    <border>
      <left/>
      <top/>
      <bottom/>
    </border>
    <border>
      <left/>
      <top/>
    </border>
    <border>
      <top/>
      <bottom/>
    </border>
    <border>
      <top/>
    </border>
    <border>
      <right/>
      <top/>
      <bottom/>
    </border>
    <border>
      <right/>
      <top/>
    </border>
    <border>
      <left/>
      <bottom/>
    </border>
    <border>
      <left/>
      <right/>
      <top/>
      <bottom/>
    </border>
    <border>
      <bottom/>
    </border>
    <border>
      <right/>
      <bottom/>
    </border>
    <border>
      <left/>
      <right/>
      <top/>
    </border>
    <border>
      <left/>
      <right/>
      <bottom/>
    </border>
    <border>
      <left/>
      <right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Border="1" applyFill="1" applyFont="1"/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5" numFmtId="0" xfId="0" applyFont="1"/>
    <xf borderId="7" fillId="0" fontId="4" numFmtId="0" xfId="0" applyBorder="1" applyFont="1"/>
    <xf borderId="1" fillId="2" fontId="6" numFmtId="0" xfId="0" applyAlignment="1" applyBorder="1" applyFill="1" applyFont="1">
      <alignment horizontal="center" vertical="center"/>
    </xf>
    <xf borderId="8" fillId="3" fontId="7" numFmtId="0" xfId="0" applyAlignment="1" applyBorder="1" applyFill="1" applyFont="1">
      <alignment horizontal="center"/>
    </xf>
    <xf borderId="9" fillId="0" fontId="4" numFmtId="0" xfId="0" applyBorder="1" applyFont="1"/>
    <xf borderId="0" fillId="0" fontId="8" numFmtId="0" xfId="0" applyAlignment="1" applyFont="1">
      <alignment shrinkToFit="0" vertical="top" wrapText="1"/>
    </xf>
    <xf borderId="10" fillId="0" fontId="4" numFmtId="0" xfId="0" applyBorder="1" applyFont="1"/>
    <xf borderId="0" fillId="0" fontId="5" numFmtId="0" xfId="0" applyAlignment="1" applyFont="1">
      <alignment horizontal="center"/>
    </xf>
    <xf borderId="2" fillId="4" fontId="9" numFmtId="0" xfId="0" applyAlignment="1" applyBorder="1" applyFill="1" applyFont="1">
      <alignment horizontal="left"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Font="1"/>
    <xf borderId="0" fillId="0" fontId="10" numFmtId="0" xfId="0" applyAlignment="1" applyFont="1">
      <alignment vertical="center"/>
    </xf>
    <xf borderId="11" fillId="3" fontId="11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vertical="center"/>
    </xf>
    <xf borderId="12" fillId="0" fontId="4" numFmtId="0" xfId="0" applyBorder="1" applyFont="1"/>
    <xf borderId="8" fillId="3" fontId="12" numFmtId="0" xfId="0" applyAlignment="1" applyBorder="1" applyFill="1" applyFont="1">
      <alignment horizontal="center" vertical="center"/>
    </xf>
    <xf borderId="8" fillId="5" fontId="8" numFmtId="0" xfId="0" applyBorder="1" applyFill="1" applyFont="1"/>
    <xf borderId="1" fillId="3" fontId="7" numFmtId="0" xfId="0" applyAlignment="1" applyBorder="1" applyFill="1" applyFont="1">
      <alignment horizontal="center"/>
    </xf>
    <xf borderId="8" fillId="3" fontId="12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shrinkToFit="0" vertical="top" wrapText="1"/>
    </xf>
    <xf borderId="0" fillId="0" fontId="14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3" numFmtId="1" xfId="0" applyAlignment="1" applyFont="1" applyNumberFormat="1">
      <alignment horizontal="right"/>
    </xf>
    <xf borderId="0" fillId="0" fontId="13" numFmtId="1" xfId="0" applyAlignment="1" applyFont="1" applyNumberFormat="1">
      <alignment horizontal="center"/>
    </xf>
    <xf borderId="8" fillId="5" fontId="13" numFmtId="1" xfId="0" applyAlignment="1" applyBorder="1" applyFill="1" applyFont="1" applyNumberFormat="1">
      <alignment horizontal="center"/>
    </xf>
    <xf borderId="0" fillId="0" fontId="15" numFmtId="0" xfId="0" applyAlignment="1" applyFont="1">
      <alignment shrinkToFit="0" vertical="center" wrapText="1"/>
    </xf>
    <xf borderId="11" fillId="6" fontId="13" numFmtId="0" xfId="0" applyAlignment="1" applyBorder="1" applyFill="1" applyFont="1">
      <alignment shrinkToFit="0" vertical="top" wrapText="1"/>
    </xf>
    <xf borderId="8" fillId="6" fontId="13" numFmtId="0" xfId="0" applyAlignment="1" applyBorder="1" applyFill="1" applyFont="1">
      <alignment shrinkToFit="0" vertical="center" wrapText="1"/>
    </xf>
    <xf borderId="8" fillId="6" fontId="13" numFmtId="1" xfId="0" applyAlignment="1" applyBorder="1" applyFill="1" applyFont="1" applyNumberFormat="1">
      <alignment horizontal="right"/>
    </xf>
    <xf borderId="8" fillId="6" fontId="13" numFmtId="1" xfId="0" applyAlignment="1" applyBorder="1" applyFill="1" applyFont="1" applyNumberFormat="1">
      <alignment horizontal="center"/>
    </xf>
    <xf borderId="13" fillId="0" fontId="4" numFmtId="0" xfId="0" applyBorder="1" applyFont="1"/>
    <xf borderId="1" fillId="7" fontId="16" numFmtId="0" xfId="0" applyAlignment="1" applyBorder="1" applyFill="1" applyFont="1">
      <alignment shrinkToFit="0" vertical="top" wrapText="1"/>
    </xf>
    <xf borderId="8" fillId="7" fontId="16" numFmtId="1" xfId="0" applyAlignment="1" applyBorder="1" applyFill="1" applyFont="1" applyNumberFormat="1">
      <alignment shrinkToFit="0" vertical="top" wrapText="1"/>
    </xf>
    <xf borderId="8" fillId="7" fontId="16" numFmtId="1" xfId="0" applyAlignment="1" applyBorder="1" applyFill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35.88"/>
    <col customWidth="1" min="3" max="3" width="38.0"/>
    <col customWidth="1" min="4" max="4" width="19.0"/>
    <col customWidth="1" min="5" max="5" width="13.0"/>
    <col customWidth="1" min="6" max="6" width="15.0"/>
    <col customWidth="1" min="7" max="8" width="8.0"/>
    <col customWidth="1" min="9" max="9" width="3.0"/>
    <col customWidth="1" min="10" max="11" width="8.0"/>
    <col customWidth="1" min="12" max="12" width="3.0"/>
    <col customWidth="1" min="13" max="14" width="8.0"/>
    <col customWidth="1" min="15" max="15" width="3.0"/>
    <col customWidth="1" min="16" max="17" width="8.0"/>
    <col customWidth="1" min="18" max="18" width="3.0"/>
    <col customWidth="1" min="19" max="20" width="8.0"/>
    <col customWidth="1" min="21" max="21" width="3.0"/>
    <col customWidth="1" min="22" max="23" width="11.0"/>
    <col customWidth="1" min="24" max="26" width="8.63"/>
  </cols>
  <sheetData>
    <row r="1" ht="27.75" customHeight="1">
      <c r="A1" s="1"/>
      <c r="G1" s="10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6"/>
    </row>
    <row r="2" ht="27.75" customHeight="1">
      <c r="G2" s="16" t="s">
        <v>23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7"/>
    </row>
    <row r="3" ht="21.75" customHeight="1">
      <c r="A3" s="19"/>
      <c r="G3" s="9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4"/>
    </row>
    <row r="4" ht="33.75" customHeight="1">
      <c r="A4" s="20" t="s">
        <v>38</v>
      </c>
      <c r="B4" s="20" t="s">
        <v>8</v>
      </c>
      <c r="C4" s="20" t="s">
        <v>10</v>
      </c>
      <c r="D4" s="20" t="s">
        <v>39</v>
      </c>
      <c r="E4" s="20" t="s">
        <v>15</v>
      </c>
      <c r="F4" s="20" t="s">
        <v>40</v>
      </c>
      <c r="G4" s="21" t="s">
        <v>41</v>
      </c>
      <c r="H4" s="4"/>
      <c r="I4" s="6"/>
      <c r="J4" s="21" t="s">
        <v>42</v>
      </c>
      <c r="K4" s="4"/>
      <c r="L4" s="6"/>
      <c r="M4" s="21" t="s">
        <v>46</v>
      </c>
      <c r="N4" s="4"/>
      <c r="O4" s="6"/>
      <c r="P4" s="21" t="s">
        <v>47</v>
      </c>
      <c r="Q4" s="4"/>
      <c r="R4" s="6"/>
      <c r="S4" s="21" t="s">
        <v>48</v>
      </c>
      <c r="T4" s="4"/>
      <c r="U4" s="6"/>
      <c r="V4" s="22" t="s">
        <v>30</v>
      </c>
      <c r="W4" s="6"/>
    </row>
    <row r="5" ht="33.75" customHeight="1">
      <c r="A5" s="23"/>
      <c r="B5" s="23"/>
      <c r="C5" s="23"/>
      <c r="D5" s="23"/>
      <c r="E5" s="23"/>
      <c r="F5" s="23"/>
      <c r="G5" s="24" t="s">
        <v>24</v>
      </c>
      <c r="H5" s="24" t="s">
        <v>27</v>
      </c>
      <c r="I5" s="25"/>
      <c r="J5" s="24" t="s">
        <v>24</v>
      </c>
      <c r="K5" s="24" t="s">
        <v>27</v>
      </c>
      <c r="L5" s="25"/>
      <c r="M5" s="24" t="s">
        <v>24</v>
      </c>
      <c r="N5" s="24" t="s">
        <v>27</v>
      </c>
      <c r="O5" s="25"/>
      <c r="P5" s="24" t="s">
        <v>24</v>
      </c>
      <c r="Q5" s="24" t="s">
        <v>27</v>
      </c>
      <c r="R5" s="25"/>
      <c r="S5" s="24" t="s">
        <v>24</v>
      </c>
      <c r="T5" s="24" t="s">
        <v>27</v>
      </c>
      <c r="U5" s="25"/>
      <c r="V5" s="27" t="s">
        <v>55</v>
      </c>
      <c r="W5" s="27" t="s">
        <v>56</v>
      </c>
    </row>
    <row r="6" ht="48.0" customHeight="1">
      <c r="A6" s="28" t="s">
        <v>34</v>
      </c>
      <c r="B6" s="28" t="s">
        <v>58</v>
      </c>
      <c r="C6" s="31" t="s">
        <v>60</v>
      </c>
      <c r="D6" s="31" t="s">
        <v>51</v>
      </c>
      <c r="E6" s="31" t="s">
        <v>68</v>
      </c>
      <c r="F6" s="33">
        <v>4.0</v>
      </c>
      <c r="G6" s="34">
        <v>3.0</v>
      </c>
      <c r="H6" s="34">
        <v>1.0</v>
      </c>
      <c r="I6" s="35"/>
      <c r="J6" s="34">
        <v>1.0</v>
      </c>
      <c r="K6" s="34">
        <v>0.0</v>
      </c>
      <c r="L6" s="35"/>
      <c r="M6" s="34">
        <v>0.0</v>
      </c>
      <c r="N6" s="34">
        <v>0.0</v>
      </c>
      <c r="O6" s="35"/>
      <c r="P6" s="34">
        <v>0.0</v>
      </c>
      <c r="Q6" s="34">
        <v>0.0</v>
      </c>
      <c r="R6" s="35"/>
      <c r="S6" s="34">
        <v>0.0</v>
      </c>
      <c r="T6" s="34">
        <v>0.0</v>
      </c>
      <c r="U6" s="35"/>
      <c r="V6" s="34">
        <v>4.0</v>
      </c>
      <c r="W6" s="34">
        <v>0.0</v>
      </c>
    </row>
    <row r="7" ht="48.0" customHeight="1">
      <c r="C7" s="31" t="s">
        <v>69</v>
      </c>
      <c r="D7" s="31" t="s">
        <v>51</v>
      </c>
      <c r="E7" s="31" t="s">
        <v>68</v>
      </c>
      <c r="F7" s="33">
        <v>2.0</v>
      </c>
      <c r="G7" s="34">
        <v>0.0</v>
      </c>
      <c r="H7" s="34">
        <v>2.0</v>
      </c>
      <c r="I7" s="35"/>
      <c r="J7" s="34">
        <v>2.0</v>
      </c>
      <c r="K7" s="34">
        <v>0.0</v>
      </c>
      <c r="L7" s="35"/>
      <c r="M7" s="34">
        <v>0.0</v>
      </c>
      <c r="N7" s="34">
        <v>0.0</v>
      </c>
      <c r="O7" s="35"/>
      <c r="P7" s="34">
        <v>0.0</v>
      </c>
      <c r="Q7" s="34">
        <v>0.0</v>
      </c>
      <c r="R7" s="35"/>
      <c r="S7" s="34">
        <v>0.0</v>
      </c>
      <c r="T7" s="34">
        <v>0.0</v>
      </c>
      <c r="U7" s="35"/>
      <c r="V7" s="34">
        <v>2.0</v>
      </c>
      <c r="W7" s="34">
        <v>0.0</v>
      </c>
    </row>
    <row r="8" ht="48.0" customHeight="1">
      <c r="C8" s="31" t="s">
        <v>70</v>
      </c>
      <c r="D8" s="31" t="s">
        <v>51</v>
      </c>
      <c r="E8" s="31" t="s">
        <v>68</v>
      </c>
      <c r="F8" s="33">
        <v>3.0</v>
      </c>
      <c r="G8" s="34">
        <v>0.0</v>
      </c>
      <c r="H8" s="34">
        <v>3.0</v>
      </c>
      <c r="I8" s="35"/>
      <c r="J8" s="34">
        <v>0.0</v>
      </c>
      <c r="K8" s="34">
        <v>3.0</v>
      </c>
      <c r="L8" s="35"/>
      <c r="M8" s="34">
        <v>3.0</v>
      </c>
      <c r="N8" s="34">
        <v>0.0</v>
      </c>
      <c r="O8" s="35"/>
      <c r="P8" s="34">
        <v>0.0</v>
      </c>
      <c r="Q8" s="34">
        <v>0.0</v>
      </c>
      <c r="R8" s="35"/>
      <c r="S8" s="34">
        <v>0.0</v>
      </c>
      <c r="T8" s="34">
        <v>0.0</v>
      </c>
      <c r="U8" s="35"/>
      <c r="V8" s="34">
        <v>3.0</v>
      </c>
      <c r="W8" s="34">
        <v>0.0</v>
      </c>
    </row>
    <row r="9" ht="48.0" customHeight="1">
      <c r="C9" s="31" t="s">
        <v>71</v>
      </c>
      <c r="D9" s="31" t="s">
        <v>51</v>
      </c>
      <c r="E9" s="31" t="s">
        <v>68</v>
      </c>
      <c r="F9" s="33">
        <v>2.0</v>
      </c>
      <c r="G9" s="34">
        <v>0.0</v>
      </c>
      <c r="H9" s="34">
        <v>2.0</v>
      </c>
      <c r="I9" s="35"/>
      <c r="J9" s="34">
        <v>0.0</v>
      </c>
      <c r="K9" s="34">
        <v>2.0</v>
      </c>
      <c r="L9" s="35"/>
      <c r="M9" s="34">
        <v>0.0</v>
      </c>
      <c r="N9" s="34">
        <v>2.0</v>
      </c>
      <c r="O9" s="35"/>
      <c r="P9" s="34">
        <v>2.0</v>
      </c>
      <c r="Q9" s="34">
        <v>0.0</v>
      </c>
      <c r="R9" s="35"/>
      <c r="S9" s="34">
        <v>0.0</v>
      </c>
      <c r="T9" s="34">
        <v>0.0</v>
      </c>
      <c r="U9" s="35"/>
      <c r="V9" s="34">
        <v>2.0</v>
      </c>
      <c r="W9" s="34">
        <v>0.0</v>
      </c>
    </row>
    <row r="10" ht="48.0" customHeight="1">
      <c r="C10" s="36" t="s">
        <v>72</v>
      </c>
      <c r="D10" s="31" t="s">
        <v>51</v>
      </c>
      <c r="E10" s="31" t="s">
        <v>68</v>
      </c>
      <c r="F10" s="33">
        <v>3.0</v>
      </c>
      <c r="G10" s="34">
        <v>0.0</v>
      </c>
      <c r="H10" s="34">
        <v>3.0</v>
      </c>
      <c r="I10" s="35"/>
      <c r="J10" s="34">
        <v>0.0</v>
      </c>
      <c r="K10" s="34">
        <v>3.0</v>
      </c>
      <c r="L10" s="35"/>
      <c r="M10" s="34">
        <v>0.0</v>
      </c>
      <c r="N10" s="34">
        <v>3.0</v>
      </c>
      <c r="O10" s="35"/>
      <c r="P10" s="34">
        <v>1.0</v>
      </c>
      <c r="Q10" s="34">
        <v>2.0</v>
      </c>
      <c r="R10" s="35"/>
      <c r="S10" s="34">
        <v>2.0</v>
      </c>
      <c r="T10" s="34">
        <v>0.0</v>
      </c>
      <c r="U10" s="35"/>
      <c r="V10" s="34">
        <v>3.0</v>
      </c>
      <c r="W10" s="34">
        <v>0.0</v>
      </c>
    </row>
    <row r="11" ht="48.0" customHeight="1">
      <c r="A11" s="37" t="s">
        <v>43</v>
      </c>
      <c r="B11" s="37" t="s">
        <v>73</v>
      </c>
      <c r="C11" s="38" t="s">
        <v>74</v>
      </c>
      <c r="D11" s="38" t="s">
        <v>45</v>
      </c>
      <c r="E11" s="38" t="s">
        <v>68</v>
      </c>
      <c r="F11" s="39">
        <v>3.0</v>
      </c>
      <c r="G11" s="40">
        <v>3.0</v>
      </c>
      <c r="H11" s="40">
        <v>0.0</v>
      </c>
      <c r="I11" s="35"/>
      <c r="J11" s="40">
        <v>0.0</v>
      </c>
      <c r="K11" s="40">
        <v>0.0</v>
      </c>
      <c r="L11" s="35"/>
      <c r="M11" s="40">
        <v>0.0</v>
      </c>
      <c r="N11" s="40">
        <v>0.0</v>
      </c>
      <c r="O11" s="35"/>
      <c r="P11" s="40">
        <v>0.0</v>
      </c>
      <c r="Q11" s="40">
        <v>0.0</v>
      </c>
      <c r="R11" s="35"/>
      <c r="S11" s="40">
        <v>0.0</v>
      </c>
      <c r="T11" s="40">
        <v>0.0</v>
      </c>
      <c r="U11" s="35"/>
      <c r="V11" s="40">
        <v>3.0</v>
      </c>
      <c r="W11" s="40">
        <v>0.0</v>
      </c>
    </row>
    <row r="12" ht="48.0" customHeight="1">
      <c r="A12" s="41"/>
      <c r="B12" s="41"/>
      <c r="C12" s="38" t="s">
        <v>75</v>
      </c>
      <c r="D12" s="38" t="s">
        <v>45</v>
      </c>
      <c r="E12" s="38" t="s">
        <v>68</v>
      </c>
      <c r="F12" s="39">
        <v>4.0</v>
      </c>
      <c r="G12" s="40">
        <v>2.0</v>
      </c>
      <c r="H12" s="40">
        <v>2.0</v>
      </c>
      <c r="I12" s="35"/>
      <c r="J12" s="40">
        <v>2.0</v>
      </c>
      <c r="K12" s="40">
        <v>0.0</v>
      </c>
      <c r="L12" s="35"/>
      <c r="M12" s="40">
        <v>0.0</v>
      </c>
      <c r="N12" s="40">
        <v>0.0</v>
      </c>
      <c r="O12" s="35"/>
      <c r="P12" s="40">
        <v>0.0</v>
      </c>
      <c r="Q12" s="40">
        <v>0.0</v>
      </c>
      <c r="R12" s="35"/>
      <c r="S12" s="40">
        <v>0.0</v>
      </c>
      <c r="T12" s="40">
        <v>0.0</v>
      </c>
      <c r="U12" s="35"/>
      <c r="V12" s="40">
        <v>4.0</v>
      </c>
      <c r="W12" s="40">
        <v>0.0</v>
      </c>
    </row>
    <row r="13" ht="48.0" customHeight="1">
      <c r="A13" s="41"/>
      <c r="B13" s="41"/>
      <c r="C13" s="38" t="s">
        <v>76</v>
      </c>
      <c r="D13" s="38" t="s">
        <v>45</v>
      </c>
      <c r="E13" s="38" t="s">
        <v>68</v>
      </c>
      <c r="F13" s="39">
        <v>2.0</v>
      </c>
      <c r="G13" s="40">
        <v>0.0</v>
      </c>
      <c r="H13" s="40">
        <v>2.0</v>
      </c>
      <c r="I13" s="35"/>
      <c r="J13" s="40">
        <v>2.0</v>
      </c>
      <c r="K13" s="40">
        <v>0.0</v>
      </c>
      <c r="L13" s="35"/>
      <c r="M13" s="40">
        <v>0.0</v>
      </c>
      <c r="N13" s="40">
        <v>0.0</v>
      </c>
      <c r="O13" s="35"/>
      <c r="P13" s="40">
        <v>0.0</v>
      </c>
      <c r="Q13" s="40">
        <v>0.0</v>
      </c>
      <c r="R13" s="35"/>
      <c r="S13" s="40">
        <v>0.0</v>
      </c>
      <c r="T13" s="40">
        <v>0.0</v>
      </c>
      <c r="U13" s="35"/>
      <c r="V13" s="40">
        <v>2.0</v>
      </c>
      <c r="W13" s="40">
        <v>0.0</v>
      </c>
    </row>
    <row r="14" ht="48.0" customHeight="1">
      <c r="A14" s="41"/>
      <c r="B14" s="41"/>
      <c r="C14" s="38" t="s">
        <v>77</v>
      </c>
      <c r="D14" s="38" t="s">
        <v>45</v>
      </c>
      <c r="E14" s="38" t="s">
        <v>68</v>
      </c>
      <c r="F14" s="39">
        <v>4.0</v>
      </c>
      <c r="G14" s="40">
        <v>0.0</v>
      </c>
      <c r="H14" s="40">
        <v>4.0</v>
      </c>
      <c r="I14" s="35"/>
      <c r="J14" s="40">
        <v>2.0</v>
      </c>
      <c r="K14" s="40">
        <v>2.0</v>
      </c>
      <c r="L14" s="35"/>
      <c r="M14" s="40">
        <v>2.0</v>
      </c>
      <c r="N14" s="40">
        <v>0.0</v>
      </c>
      <c r="O14" s="35"/>
      <c r="P14" s="40">
        <v>0.0</v>
      </c>
      <c r="Q14" s="40">
        <v>0.0</v>
      </c>
      <c r="R14" s="35"/>
      <c r="S14" s="40">
        <v>0.0</v>
      </c>
      <c r="T14" s="40">
        <v>0.0</v>
      </c>
      <c r="U14" s="35"/>
      <c r="V14" s="40">
        <v>4.0</v>
      </c>
      <c r="W14" s="40">
        <v>0.0</v>
      </c>
    </row>
    <row r="15" ht="48.0" customHeight="1">
      <c r="A15" s="41"/>
      <c r="B15" s="41"/>
      <c r="C15" s="38" t="s">
        <v>78</v>
      </c>
      <c r="D15" s="38" t="s">
        <v>45</v>
      </c>
      <c r="E15" s="38" t="s">
        <v>68</v>
      </c>
      <c r="F15" s="39">
        <v>2.0</v>
      </c>
      <c r="G15" s="40">
        <v>0.0</v>
      </c>
      <c r="H15" s="40">
        <v>2.0</v>
      </c>
      <c r="I15" s="35"/>
      <c r="J15" s="40">
        <v>0.0</v>
      </c>
      <c r="K15" s="40">
        <v>2.0</v>
      </c>
      <c r="L15" s="35"/>
      <c r="M15" s="40">
        <v>2.0</v>
      </c>
      <c r="N15" s="40">
        <v>0.0</v>
      </c>
      <c r="O15" s="35"/>
      <c r="P15" s="40">
        <v>0.0</v>
      </c>
      <c r="Q15" s="40">
        <v>0.0</v>
      </c>
      <c r="R15" s="35"/>
      <c r="S15" s="40">
        <v>0.0</v>
      </c>
      <c r="T15" s="40">
        <v>0.0</v>
      </c>
      <c r="U15" s="35"/>
      <c r="V15" s="40">
        <v>2.0</v>
      </c>
      <c r="W15" s="40">
        <v>0.0</v>
      </c>
    </row>
    <row r="16" ht="48.0" customHeight="1">
      <c r="A16" s="23"/>
      <c r="B16" s="23"/>
      <c r="C16" s="38" t="s">
        <v>79</v>
      </c>
      <c r="D16" s="38" t="s">
        <v>45</v>
      </c>
      <c r="E16" s="38" t="s">
        <v>68</v>
      </c>
      <c r="F16" s="39">
        <v>2.0</v>
      </c>
      <c r="G16" s="40">
        <v>0.0</v>
      </c>
      <c r="H16" s="40">
        <v>2.0</v>
      </c>
      <c r="I16" s="35"/>
      <c r="J16" s="40">
        <v>0.0</v>
      </c>
      <c r="K16" s="40">
        <v>2.0</v>
      </c>
      <c r="L16" s="35"/>
      <c r="M16" s="40">
        <v>2.0</v>
      </c>
      <c r="N16" s="40">
        <v>0.0</v>
      </c>
      <c r="O16" s="35"/>
      <c r="P16" s="40">
        <v>0.0</v>
      </c>
      <c r="Q16" s="40">
        <v>0.0</v>
      </c>
      <c r="R16" s="35"/>
      <c r="S16" s="40">
        <v>0.0</v>
      </c>
      <c r="T16" s="40">
        <v>0.0</v>
      </c>
      <c r="U16" s="35"/>
      <c r="V16" s="40">
        <v>2.0</v>
      </c>
      <c r="W16" s="40">
        <v>0.0</v>
      </c>
    </row>
    <row r="17" ht="48.0" customHeight="1">
      <c r="A17" s="28" t="s">
        <v>49</v>
      </c>
      <c r="B17" s="28" t="s">
        <v>80</v>
      </c>
      <c r="C17" s="31" t="s">
        <v>81</v>
      </c>
      <c r="D17" s="31" t="s">
        <v>37</v>
      </c>
      <c r="E17" s="31" t="s">
        <v>68</v>
      </c>
      <c r="F17" s="33">
        <v>3.0</v>
      </c>
      <c r="G17" s="34">
        <v>3.0</v>
      </c>
      <c r="H17" s="34">
        <v>0.0</v>
      </c>
      <c r="I17" s="35"/>
      <c r="J17" s="34">
        <v>0.0</v>
      </c>
      <c r="K17" s="34">
        <v>0.0</v>
      </c>
      <c r="L17" s="35"/>
      <c r="M17" s="34">
        <v>0.0</v>
      </c>
      <c r="N17" s="34">
        <v>0.0</v>
      </c>
      <c r="O17" s="35"/>
      <c r="P17" s="34">
        <v>0.0</v>
      </c>
      <c r="Q17" s="34">
        <v>0.0</v>
      </c>
      <c r="R17" s="35"/>
      <c r="S17" s="34">
        <v>0.0</v>
      </c>
      <c r="T17" s="34">
        <v>0.0</v>
      </c>
      <c r="U17" s="35"/>
      <c r="V17" s="34">
        <v>3.0</v>
      </c>
      <c r="W17" s="34">
        <v>0.0</v>
      </c>
    </row>
    <row r="18" ht="48.0" customHeight="1">
      <c r="C18" s="31" t="s">
        <v>82</v>
      </c>
      <c r="D18" s="31" t="s">
        <v>37</v>
      </c>
      <c r="E18" s="31" t="s">
        <v>68</v>
      </c>
      <c r="F18" s="33">
        <v>3.0</v>
      </c>
      <c r="G18" s="34">
        <v>0.0</v>
      </c>
      <c r="H18" s="34">
        <v>3.0</v>
      </c>
      <c r="I18" s="35"/>
      <c r="J18" s="34">
        <v>3.0</v>
      </c>
      <c r="K18" s="34">
        <v>0.0</v>
      </c>
      <c r="L18" s="35"/>
      <c r="M18" s="34">
        <v>0.0</v>
      </c>
      <c r="N18" s="34">
        <v>0.0</v>
      </c>
      <c r="O18" s="35"/>
      <c r="P18" s="34">
        <v>0.0</v>
      </c>
      <c r="Q18" s="34">
        <v>0.0</v>
      </c>
      <c r="R18" s="35"/>
      <c r="S18" s="34">
        <v>0.0</v>
      </c>
      <c r="T18" s="34">
        <v>0.0</v>
      </c>
      <c r="U18" s="35"/>
      <c r="V18" s="34">
        <v>3.0</v>
      </c>
      <c r="W18" s="34">
        <v>0.0</v>
      </c>
    </row>
    <row r="19" ht="48.0" customHeight="1">
      <c r="C19" s="31" t="s">
        <v>83</v>
      </c>
      <c r="D19" s="31" t="s">
        <v>37</v>
      </c>
      <c r="E19" s="31" t="s">
        <v>68</v>
      </c>
      <c r="F19" s="33">
        <v>3.0</v>
      </c>
      <c r="G19" s="34">
        <v>0.0</v>
      </c>
      <c r="H19" s="34">
        <v>3.0</v>
      </c>
      <c r="I19" s="35"/>
      <c r="J19" s="34">
        <v>0.0</v>
      </c>
      <c r="K19" s="34">
        <v>3.0</v>
      </c>
      <c r="L19" s="35"/>
      <c r="M19" s="34">
        <v>3.0</v>
      </c>
      <c r="N19" s="34">
        <v>0.0</v>
      </c>
      <c r="O19" s="35"/>
      <c r="P19" s="34">
        <v>0.0</v>
      </c>
      <c r="Q19" s="34">
        <v>0.0</v>
      </c>
      <c r="R19" s="35"/>
      <c r="S19" s="34">
        <v>0.0</v>
      </c>
      <c r="T19" s="34">
        <v>0.0</v>
      </c>
      <c r="U19" s="35"/>
      <c r="V19" s="34">
        <v>3.0</v>
      </c>
      <c r="W19" s="34">
        <v>0.0</v>
      </c>
    </row>
    <row r="20" ht="48.0" customHeight="1">
      <c r="C20" s="31" t="s">
        <v>84</v>
      </c>
      <c r="D20" s="31" t="s">
        <v>37</v>
      </c>
      <c r="E20" s="31" t="s">
        <v>68</v>
      </c>
      <c r="F20" s="33">
        <v>2.0</v>
      </c>
      <c r="G20" s="34">
        <v>0.0</v>
      </c>
      <c r="H20" s="34">
        <v>2.0</v>
      </c>
      <c r="I20" s="35"/>
      <c r="J20" s="34">
        <v>0.0</v>
      </c>
      <c r="K20" s="34">
        <v>2.0</v>
      </c>
      <c r="L20" s="35"/>
      <c r="M20" s="34">
        <v>0.0</v>
      </c>
      <c r="N20" s="34">
        <v>2.0</v>
      </c>
      <c r="O20" s="35"/>
      <c r="P20" s="34">
        <v>2.0</v>
      </c>
      <c r="Q20" s="34">
        <v>0.0</v>
      </c>
      <c r="R20" s="35"/>
      <c r="S20" s="34">
        <v>0.0</v>
      </c>
      <c r="T20" s="34">
        <v>0.0</v>
      </c>
      <c r="U20" s="35"/>
      <c r="V20" s="34">
        <v>2.0</v>
      </c>
      <c r="W20" s="34">
        <v>0.0</v>
      </c>
    </row>
    <row r="21" ht="48.0" customHeight="1">
      <c r="C21" s="31" t="s">
        <v>85</v>
      </c>
      <c r="D21" s="31" t="s">
        <v>37</v>
      </c>
      <c r="E21" s="31" t="s">
        <v>68</v>
      </c>
      <c r="F21" s="33">
        <v>1.0</v>
      </c>
      <c r="G21" s="34">
        <v>0.0</v>
      </c>
      <c r="H21" s="34">
        <v>1.0</v>
      </c>
      <c r="I21" s="35"/>
      <c r="J21" s="34">
        <v>0.0</v>
      </c>
      <c r="K21" s="34">
        <v>1.0</v>
      </c>
      <c r="L21" s="35"/>
      <c r="M21" s="34">
        <v>0.0</v>
      </c>
      <c r="N21" s="34">
        <v>1.0</v>
      </c>
      <c r="O21" s="35"/>
      <c r="P21" s="34">
        <v>1.0</v>
      </c>
      <c r="Q21" s="34">
        <v>0.0</v>
      </c>
      <c r="R21" s="35"/>
      <c r="S21" s="34">
        <v>0.0</v>
      </c>
      <c r="T21" s="34">
        <v>0.0</v>
      </c>
      <c r="U21" s="35"/>
      <c r="V21" s="34">
        <v>1.0</v>
      </c>
      <c r="W21" s="34">
        <v>0.0</v>
      </c>
    </row>
    <row r="22" ht="48.0" customHeight="1">
      <c r="C22" s="31" t="s">
        <v>86</v>
      </c>
      <c r="D22" s="31" t="s">
        <v>37</v>
      </c>
      <c r="E22" s="31" t="s">
        <v>68</v>
      </c>
      <c r="F22" s="33">
        <v>2.0</v>
      </c>
      <c r="G22" s="34">
        <v>0.0</v>
      </c>
      <c r="H22" s="34">
        <v>2.0</v>
      </c>
      <c r="I22" s="35"/>
      <c r="J22" s="34">
        <v>0.0</v>
      </c>
      <c r="K22" s="34">
        <v>2.0</v>
      </c>
      <c r="L22" s="35"/>
      <c r="M22" s="34">
        <v>0.0</v>
      </c>
      <c r="N22" s="34">
        <v>2.0</v>
      </c>
      <c r="O22" s="35"/>
      <c r="P22" s="34">
        <v>0.0</v>
      </c>
      <c r="Q22" s="34">
        <v>2.0</v>
      </c>
      <c r="R22" s="35"/>
      <c r="S22" s="34">
        <v>2.0</v>
      </c>
      <c r="T22" s="34">
        <v>0.0</v>
      </c>
      <c r="U22" s="35"/>
      <c r="V22" s="34">
        <v>2.0</v>
      </c>
      <c r="W22" s="34">
        <v>0.0</v>
      </c>
    </row>
    <row r="23" ht="48.0" customHeight="1">
      <c r="A23" s="37" t="s">
        <v>52</v>
      </c>
      <c r="B23" s="37" t="s">
        <v>87</v>
      </c>
      <c r="C23" s="38" t="s">
        <v>88</v>
      </c>
      <c r="D23" s="38" t="s">
        <v>45</v>
      </c>
      <c r="E23" s="38" t="s">
        <v>68</v>
      </c>
      <c r="F23" s="39">
        <v>2.0</v>
      </c>
      <c r="G23" s="40">
        <v>0.0</v>
      </c>
      <c r="H23" s="40">
        <v>2.0</v>
      </c>
      <c r="I23" s="35"/>
      <c r="J23" s="40">
        <v>0.0</v>
      </c>
      <c r="K23" s="40">
        <v>2.0</v>
      </c>
      <c r="L23" s="35"/>
      <c r="M23" s="40">
        <v>0.0</v>
      </c>
      <c r="N23" s="40">
        <v>2.0</v>
      </c>
      <c r="O23" s="35"/>
      <c r="P23" s="40">
        <v>2.0</v>
      </c>
      <c r="Q23" s="40">
        <v>0.0</v>
      </c>
      <c r="R23" s="35"/>
      <c r="S23" s="40">
        <v>0.0</v>
      </c>
      <c r="T23" s="40">
        <v>0.0</v>
      </c>
      <c r="U23" s="35"/>
      <c r="V23" s="40">
        <v>2.0</v>
      </c>
      <c r="W23" s="40">
        <v>0.0</v>
      </c>
    </row>
    <row r="24" ht="48.0" customHeight="1">
      <c r="A24" s="41"/>
      <c r="B24" s="41"/>
      <c r="C24" s="38" t="s">
        <v>89</v>
      </c>
      <c r="D24" s="38" t="s">
        <v>45</v>
      </c>
      <c r="E24" s="38" t="s">
        <v>68</v>
      </c>
      <c r="F24" s="39">
        <v>3.0</v>
      </c>
      <c r="G24" s="40">
        <v>0.0</v>
      </c>
      <c r="H24" s="40">
        <v>3.0</v>
      </c>
      <c r="I24" s="35"/>
      <c r="J24" s="40">
        <v>0.0</v>
      </c>
      <c r="K24" s="40">
        <v>3.0</v>
      </c>
      <c r="L24" s="35"/>
      <c r="M24" s="40">
        <v>0.0</v>
      </c>
      <c r="N24" s="40">
        <v>3.0</v>
      </c>
      <c r="O24" s="35"/>
      <c r="P24" s="40">
        <v>3.0</v>
      </c>
      <c r="Q24" s="40">
        <v>0.0</v>
      </c>
      <c r="R24" s="35"/>
      <c r="S24" s="40">
        <v>0.0</v>
      </c>
      <c r="T24" s="40">
        <v>0.0</v>
      </c>
      <c r="U24" s="35"/>
      <c r="V24" s="40">
        <v>3.0</v>
      </c>
      <c r="W24" s="40">
        <v>0.0</v>
      </c>
    </row>
    <row r="25" ht="48.0" customHeight="1">
      <c r="A25" s="41"/>
      <c r="B25" s="41"/>
      <c r="C25" s="38" t="s">
        <v>90</v>
      </c>
      <c r="D25" s="38" t="s">
        <v>45</v>
      </c>
      <c r="E25" s="38" t="s">
        <v>68</v>
      </c>
      <c r="F25" s="39">
        <v>2.0</v>
      </c>
      <c r="G25" s="40">
        <v>0.0</v>
      </c>
      <c r="H25" s="40">
        <v>2.0</v>
      </c>
      <c r="I25" s="35"/>
      <c r="J25" s="40">
        <v>0.0</v>
      </c>
      <c r="K25" s="40">
        <v>2.0</v>
      </c>
      <c r="L25" s="35"/>
      <c r="M25" s="40">
        <v>0.0</v>
      </c>
      <c r="N25" s="40">
        <v>2.0</v>
      </c>
      <c r="O25" s="35"/>
      <c r="P25" s="40">
        <v>1.0</v>
      </c>
      <c r="Q25" s="40">
        <v>1.0</v>
      </c>
      <c r="R25" s="35"/>
      <c r="S25" s="40">
        <v>1.0</v>
      </c>
      <c r="T25" s="40">
        <v>0.0</v>
      </c>
      <c r="U25" s="35"/>
      <c r="V25" s="40">
        <v>2.0</v>
      </c>
      <c r="W25" s="40">
        <v>0.0</v>
      </c>
    </row>
    <row r="26" ht="48.0" customHeight="1">
      <c r="A26" s="41"/>
      <c r="B26" s="41"/>
      <c r="C26" s="38" t="s">
        <v>91</v>
      </c>
      <c r="D26" s="38" t="s">
        <v>45</v>
      </c>
      <c r="E26" s="38" t="s">
        <v>68</v>
      </c>
      <c r="F26" s="39">
        <v>2.0</v>
      </c>
      <c r="G26" s="40">
        <v>0.0</v>
      </c>
      <c r="H26" s="40">
        <v>2.0</v>
      </c>
      <c r="I26" s="35"/>
      <c r="J26" s="40">
        <v>0.0</v>
      </c>
      <c r="K26" s="40">
        <v>2.0</v>
      </c>
      <c r="L26" s="35"/>
      <c r="M26" s="40">
        <v>0.0</v>
      </c>
      <c r="N26" s="40">
        <v>2.0</v>
      </c>
      <c r="O26" s="35"/>
      <c r="P26" s="40">
        <v>0.0</v>
      </c>
      <c r="Q26" s="40">
        <v>2.0</v>
      </c>
      <c r="R26" s="35"/>
      <c r="S26" s="40">
        <v>2.0</v>
      </c>
      <c r="T26" s="40">
        <v>0.0</v>
      </c>
      <c r="U26" s="35"/>
      <c r="V26" s="40">
        <v>2.0</v>
      </c>
      <c r="W26" s="40">
        <v>0.0</v>
      </c>
    </row>
    <row r="27" ht="48.0" customHeight="1">
      <c r="A27" s="41"/>
      <c r="B27" s="41"/>
      <c r="C27" s="38" t="s">
        <v>92</v>
      </c>
      <c r="D27" s="38" t="s">
        <v>45</v>
      </c>
      <c r="E27" s="38" t="s">
        <v>68</v>
      </c>
      <c r="F27" s="39">
        <v>1.0</v>
      </c>
      <c r="G27" s="40">
        <v>0.0</v>
      </c>
      <c r="H27" s="40">
        <v>1.0</v>
      </c>
      <c r="I27" s="35"/>
      <c r="J27" s="40">
        <v>0.0</v>
      </c>
      <c r="K27" s="40">
        <v>1.0</v>
      </c>
      <c r="L27" s="35"/>
      <c r="M27" s="40">
        <v>0.0</v>
      </c>
      <c r="N27" s="40">
        <v>1.0</v>
      </c>
      <c r="O27" s="35"/>
      <c r="P27" s="40">
        <v>0.0</v>
      </c>
      <c r="Q27" s="40">
        <v>1.0</v>
      </c>
      <c r="R27" s="35"/>
      <c r="S27" s="40">
        <v>1.0</v>
      </c>
      <c r="T27" s="40">
        <v>0.0</v>
      </c>
      <c r="U27" s="35"/>
      <c r="V27" s="40">
        <v>1.0</v>
      </c>
      <c r="W27" s="40">
        <v>0.0</v>
      </c>
    </row>
    <row r="28" ht="48.0" customHeight="1">
      <c r="A28" s="23"/>
      <c r="B28" s="23"/>
      <c r="C28" s="38" t="s">
        <v>93</v>
      </c>
      <c r="D28" s="38" t="s">
        <v>45</v>
      </c>
      <c r="E28" s="38" t="s">
        <v>68</v>
      </c>
      <c r="F28" s="39">
        <v>2.0</v>
      </c>
      <c r="G28" s="40">
        <v>0.0</v>
      </c>
      <c r="H28" s="40">
        <v>2.0</v>
      </c>
      <c r="I28" s="35"/>
      <c r="J28" s="40">
        <v>0.0</v>
      </c>
      <c r="K28" s="40">
        <v>2.0</v>
      </c>
      <c r="L28" s="35"/>
      <c r="M28" s="40">
        <v>0.0</v>
      </c>
      <c r="N28" s="40">
        <v>2.0</v>
      </c>
      <c r="O28" s="35"/>
      <c r="P28" s="40">
        <v>0.0</v>
      </c>
      <c r="Q28" s="40">
        <v>2.0</v>
      </c>
      <c r="R28" s="35"/>
      <c r="S28" s="40">
        <v>2.0</v>
      </c>
      <c r="T28" s="40">
        <v>0.0</v>
      </c>
      <c r="U28" s="35"/>
      <c r="V28" s="40">
        <v>2.0</v>
      </c>
      <c r="W28" s="40">
        <v>0.0</v>
      </c>
    </row>
    <row r="29" ht="24.0" customHeight="1">
      <c r="A29" s="42" t="s">
        <v>94</v>
      </c>
      <c r="B29" s="4"/>
      <c r="C29" s="4"/>
      <c r="D29" s="4"/>
      <c r="E29" s="6"/>
      <c r="F29" s="43">
        <f t="shared" ref="F29:H29" si="1">SUM(F6:F28)</f>
        <v>57</v>
      </c>
      <c r="G29" s="44">
        <f t="shared" si="1"/>
        <v>11</v>
      </c>
      <c r="H29" s="44">
        <f t="shared" si="1"/>
        <v>46</v>
      </c>
      <c r="I29" s="44"/>
      <c r="J29" s="44">
        <f t="shared" ref="J29:K29" si="2">SUM(J6:J28)</f>
        <v>12</v>
      </c>
      <c r="K29" s="44">
        <f t="shared" si="2"/>
        <v>34</v>
      </c>
      <c r="L29" s="44"/>
      <c r="M29" s="44">
        <f t="shared" ref="M29:N29" si="3">SUM(M6:M28)</f>
        <v>12</v>
      </c>
      <c r="N29" s="44">
        <f t="shared" si="3"/>
        <v>22</v>
      </c>
      <c r="O29" s="44"/>
      <c r="P29" s="44">
        <f t="shared" ref="P29:Q29" si="4">SUM(P6:P28)</f>
        <v>12</v>
      </c>
      <c r="Q29" s="44">
        <f t="shared" si="4"/>
        <v>10</v>
      </c>
      <c r="R29" s="44"/>
      <c r="S29" s="44">
        <f t="shared" ref="S29:T29" si="5">SUM(S6:S28)</f>
        <v>10</v>
      </c>
      <c r="T29" s="44">
        <f t="shared" si="5"/>
        <v>0</v>
      </c>
      <c r="U29" s="44"/>
      <c r="V29" s="44">
        <f t="shared" ref="V29:W29" si="6">SUM(V6:V28)</f>
        <v>57</v>
      </c>
      <c r="W29" s="44">
        <f t="shared" si="6"/>
        <v>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5">
    <mergeCell ref="F4:F5"/>
    <mergeCell ref="G4:I4"/>
    <mergeCell ref="J4:L4"/>
    <mergeCell ref="M4:O4"/>
    <mergeCell ref="P4:R4"/>
    <mergeCell ref="S4:U4"/>
    <mergeCell ref="A1:F2"/>
    <mergeCell ref="G1:W1"/>
    <mergeCell ref="G2:W3"/>
    <mergeCell ref="A3:F3"/>
    <mergeCell ref="A4:A5"/>
    <mergeCell ref="B4:B5"/>
    <mergeCell ref="C4:C5"/>
    <mergeCell ref="V4:W4"/>
    <mergeCell ref="A17:A22"/>
    <mergeCell ref="A23:A28"/>
    <mergeCell ref="B23:B28"/>
    <mergeCell ref="D4:D5"/>
    <mergeCell ref="E4:E5"/>
    <mergeCell ref="A6:A10"/>
    <mergeCell ref="B6:B10"/>
    <mergeCell ref="A11:A16"/>
    <mergeCell ref="B11:B16"/>
    <mergeCell ref="B17:B22"/>
    <mergeCell ref="A29:E29"/>
  </mergeCells>
  <dataValidations>
    <dataValidation type="list" allowBlank="1" sqref="E6:E28">
      <formula1>"Por iniciar,En proceso,Hecho,Bloqueado"</formula1>
    </dataValidation>
    <dataValidation type="list" allowBlank="1" sqref="D6:D28">
      <formula1>"Martín Rodríguez,Jesús Lozano,Andrés Alvarado"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2.0"/>
    <col customWidth="1" min="3" max="3" width="14.0"/>
    <col customWidth="1" min="4" max="4" width="16.0"/>
    <col customWidth="1" min="5" max="5" width="5.0"/>
    <col customWidth="1" min="6" max="6" width="22.0"/>
    <col customWidth="1" min="7" max="7" width="16.0"/>
    <col customWidth="1" min="8" max="8" width="14.0"/>
    <col customWidth="1" min="9" max="26" width="8.63"/>
  </cols>
  <sheetData>
    <row r="1">
      <c r="A1" s="3" t="s">
        <v>1</v>
      </c>
      <c r="B1" s="5"/>
      <c r="C1" s="5"/>
      <c r="D1" s="5"/>
      <c r="E1" s="5"/>
      <c r="F1" s="5"/>
      <c r="G1" s="5"/>
      <c r="H1" s="7"/>
    </row>
    <row r="2" ht="15.0" customHeight="1">
      <c r="A2" s="9"/>
      <c r="B2" s="12"/>
      <c r="C2" s="12"/>
      <c r="D2" s="12"/>
      <c r="E2" s="12"/>
      <c r="F2" s="12"/>
      <c r="G2" s="12"/>
      <c r="H2" s="14"/>
    </row>
    <row r="3">
      <c r="A3" s="15" t="s">
        <v>11</v>
      </c>
    </row>
    <row r="5">
      <c r="A5" s="11" t="s">
        <v>19</v>
      </c>
      <c r="B5" s="11" t="s">
        <v>21</v>
      </c>
      <c r="C5" s="11" t="s">
        <v>26</v>
      </c>
      <c r="D5" s="11" t="s">
        <v>29</v>
      </c>
      <c r="F5" s="11" t="s">
        <v>31</v>
      </c>
      <c r="G5" s="11" t="s">
        <v>33</v>
      </c>
    </row>
    <row r="6">
      <c r="A6" s="17" t="s">
        <v>34</v>
      </c>
      <c r="B6" s="17" t="s">
        <v>35</v>
      </c>
      <c r="C6" s="17">
        <v>1.0</v>
      </c>
      <c r="D6" s="17" t="s">
        <v>36</v>
      </c>
      <c r="F6" s="18" t="s">
        <v>37</v>
      </c>
      <c r="G6" s="18">
        <f>SUMIF('Sprint Backlog 1'!$D$6:$D$28,F6,'Sprint Backlog 1'!$F$6:$F$28)</f>
        <v>14</v>
      </c>
    </row>
    <row r="7">
      <c r="A7" s="17" t="s">
        <v>43</v>
      </c>
      <c r="B7" s="17" t="s">
        <v>44</v>
      </c>
      <c r="C7" s="17">
        <v>2.0</v>
      </c>
      <c r="D7" s="17" t="s">
        <v>36</v>
      </c>
      <c r="F7" s="18" t="s">
        <v>45</v>
      </c>
      <c r="G7" s="18">
        <f>SUMIF('Sprint Backlog 1'!$D$6:$D$28,F7,'Sprint Backlog 1'!$F$6:$F$28)</f>
        <v>29</v>
      </c>
    </row>
    <row r="8">
      <c r="A8" s="17" t="s">
        <v>49</v>
      </c>
      <c r="B8" s="17" t="s">
        <v>50</v>
      </c>
      <c r="C8" s="17">
        <v>3.0</v>
      </c>
      <c r="D8" s="17" t="s">
        <v>36</v>
      </c>
      <c r="F8" s="18" t="s">
        <v>51</v>
      </c>
      <c r="G8" s="18">
        <f>SUMIF('Sprint Backlog 1'!$D$6:$D$28,F8,'Sprint Backlog 1'!$F$6:$F$28)</f>
        <v>14</v>
      </c>
    </row>
    <row r="9">
      <c r="A9" s="17" t="s">
        <v>52</v>
      </c>
      <c r="B9" s="17" t="s">
        <v>53</v>
      </c>
      <c r="C9" s="17">
        <v>4.0</v>
      </c>
      <c r="D9" s="17" t="s">
        <v>36</v>
      </c>
      <c r="F9" s="18" t="s">
        <v>30</v>
      </c>
      <c r="G9" s="18">
        <f>SUM(G6:G8)</f>
        <v>57</v>
      </c>
    </row>
    <row r="12">
      <c r="A12" s="26" t="s">
        <v>54</v>
      </c>
      <c r="B12" s="4"/>
      <c r="C12" s="4"/>
      <c r="D12" s="4"/>
      <c r="E12" s="4"/>
      <c r="F12" s="4"/>
      <c r="G12" s="4"/>
      <c r="H12" s="6"/>
    </row>
    <row r="13" ht="30.0" customHeight="1">
      <c r="A13" s="29" t="s">
        <v>57</v>
      </c>
      <c r="B13" s="30" t="s">
        <v>59</v>
      </c>
    </row>
    <row r="14" ht="30.0" customHeight="1">
      <c r="A14" s="29" t="s">
        <v>61</v>
      </c>
      <c r="B14" s="32" t="s">
        <v>62</v>
      </c>
    </row>
    <row r="15" ht="30.0" customHeight="1">
      <c r="A15" s="29" t="s">
        <v>26</v>
      </c>
      <c r="B15" s="30" t="s">
        <v>63</v>
      </c>
    </row>
    <row r="16" ht="30.0" customHeight="1">
      <c r="A16" s="29" t="s">
        <v>64</v>
      </c>
      <c r="B16" s="30" t="s">
        <v>65</v>
      </c>
    </row>
    <row r="17" ht="30.0" customHeight="1">
      <c r="A17" s="29" t="s">
        <v>66</v>
      </c>
      <c r="B17" s="30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2"/>
    <mergeCell ref="A3:H3"/>
    <mergeCell ref="A12:H12"/>
    <mergeCell ref="B13:H13"/>
    <mergeCell ref="B14:H14"/>
    <mergeCell ref="B15:H15"/>
    <mergeCell ref="B16:H16"/>
    <mergeCell ref="B17:H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82.0"/>
    <col customWidth="1" min="3" max="26" width="8.63"/>
  </cols>
  <sheetData>
    <row r="1">
      <c r="A1" s="2" t="s">
        <v>0</v>
      </c>
      <c r="B1" s="4"/>
      <c r="C1" s="6"/>
    </row>
    <row r="2">
      <c r="A2" s="8" t="s">
        <v>3</v>
      </c>
    </row>
    <row r="4" ht="33.75" customHeight="1">
      <c r="A4" s="11" t="s">
        <v>4</v>
      </c>
      <c r="B4" s="11" t="s">
        <v>5</v>
      </c>
    </row>
    <row r="5" ht="33.75" customHeight="1">
      <c r="A5" s="13" t="s">
        <v>6</v>
      </c>
      <c r="B5" s="13" t="s">
        <v>7</v>
      </c>
    </row>
    <row r="6" ht="33.75" customHeight="1">
      <c r="A6" s="13" t="s">
        <v>8</v>
      </c>
      <c r="B6" s="13" t="s">
        <v>9</v>
      </c>
    </row>
    <row r="7">
      <c r="A7" s="13" t="s">
        <v>10</v>
      </c>
      <c r="B7" s="13" t="s">
        <v>12</v>
      </c>
    </row>
    <row r="8" ht="33.75" customHeight="1">
      <c r="A8" s="13" t="s">
        <v>13</v>
      </c>
      <c r="B8" s="13" t="s">
        <v>14</v>
      </c>
    </row>
    <row r="9" ht="33.75" customHeight="1">
      <c r="A9" s="13" t="s">
        <v>15</v>
      </c>
      <c r="B9" s="13" t="s">
        <v>16</v>
      </c>
    </row>
    <row r="10" ht="33.75" customHeight="1">
      <c r="A10" s="13" t="s">
        <v>17</v>
      </c>
      <c r="B10" s="13" t="s">
        <v>18</v>
      </c>
    </row>
    <row r="11" ht="33.75" customHeight="1">
      <c r="A11" s="13" t="s">
        <v>20</v>
      </c>
      <c r="B11" s="13" t="s">
        <v>22</v>
      </c>
    </row>
    <row r="12" ht="33.75" customHeight="1">
      <c r="A12" s="13" t="s">
        <v>24</v>
      </c>
      <c r="B12" s="13" t="s">
        <v>25</v>
      </c>
    </row>
    <row r="13" ht="33.75" customHeight="1">
      <c r="A13" s="13" t="s">
        <v>27</v>
      </c>
      <c r="B13" s="13" t="s">
        <v>28</v>
      </c>
    </row>
    <row r="14" ht="33.75" customHeight="1">
      <c r="A14" s="13" t="s">
        <v>30</v>
      </c>
      <c r="B14" s="13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A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2026-10-09T22:22:56Z</dcterms:created>
  <dc:creator>Jesús Lozano Alvarez</dc:creator>
</cp:coreProperties>
</file>