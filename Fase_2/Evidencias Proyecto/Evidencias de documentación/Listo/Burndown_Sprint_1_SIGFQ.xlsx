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 1" sheetId="1" r:id="rId4"/>
  </sheets>
  <definedNames/>
  <calcPr/>
  <extLst>
    <ext uri="GoogleSheetsCustomDataVersion2">
      <go:sheetsCustomData xmlns:go="http://customooxmlschemas.google.com/" r:id="rId5" roundtripDataChecksum="nb0Aj7TIPtRHMHCnsmD7gUbH2XIK1M80HVNoHm1aQ6w="/>
    </ext>
  </extLst>
</workbook>
</file>

<file path=xl/sharedStrings.xml><?xml version="1.0" encoding="utf-8"?>
<sst xmlns="http://schemas.openxmlformats.org/spreadsheetml/2006/main" count="31" uniqueCount="26">
  <si>
    <t>SIGFQ · Burndown Sprint 1</t>
  </si>
  <si>
    <t>14/09/2026–18/09/2026 · 4 historias · 23 tareas · 5 días de seguimiento</t>
  </si>
  <si>
    <t>Historias de usuario</t>
  </si>
  <si>
    <t>Horas estimadas</t>
  </si>
  <si>
    <t>Horas registradas por día</t>
  </si>
  <si>
    <t>Día 1</t>
  </si>
  <si>
    <t>Día 2</t>
  </si>
  <si>
    <t>Día 3</t>
  </si>
  <si>
    <t>Día 4</t>
  </si>
  <si>
    <t>Día 5</t>
  </si>
  <si>
    <t>E1-H1 · Acceso autenticado de usuarios internos</t>
  </si>
  <si>
    <t>E1-H2 · Administración de usuarios internos</t>
  </si>
  <si>
    <t>E1-H3 · Roles y permisos de acceso</t>
  </si>
  <si>
    <t>E1-H4 · Asignación de sucursal a usuarios</t>
  </si>
  <si>
    <t>Horas registradas</t>
  </si>
  <si>
    <t>Horas restantes reales</t>
  </si>
  <si>
    <t>Horas restantes ideales</t>
  </si>
  <si>
    <t>Sistema Integral de Gestión para Farmacia Quilicura (SIGFQ) · CAPSTONE_004D · Duoc UC.</t>
  </si>
  <si>
    <t>Fuente: Sprint_1_Backlog_SIGFQ_Tareas_por_HU_y_Escenarios.xlsm. Cada fila agrega las estimaciones y registros diarios de las tareas de su historia; no se usa el total de cierre para sustituir registros diarios.</t>
  </si>
  <si>
    <t>Las horas consumidas son registros del Backlog. El saldo real se calcula restando esos registros a la estimación inicial; no representa una verificación independiente de la aceptación del incremento.</t>
  </si>
  <si>
    <t>E1-H5 figura en Sprint 1 en la pila, pero no tiene tareas en el Backlog. El gráfico representa las cuatro historias comprometidas E1-H1 a E1-H4.</t>
  </si>
  <si>
    <t>PMO Informática · Adaptación de la plantilla oficial de control del Sprint. Las líneas incluyen el valor inicial y se actualizan al editar horas estimadas o registros diarios.</t>
  </si>
  <si>
    <t>Momento</t>
  </si>
  <si>
    <t>Real (h)</t>
  </si>
  <si>
    <t>Ideal (h)</t>
  </si>
  <si>
    <t>Inicio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</si>
</sst>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7">
    <font>
      <sz val="11.0"/>
      <color theme="1"/>
      <name val="Calibri"/>
      <scheme val="minor"/>
    </font>
    <font>
      <b/>
      <sz val="16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/>
    <font>
      <sz val="10.0"/>
      <color theme="1"/>
      <name val="Calibri"/>
    </font>
    <font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B8CCE4"/>
        <bgColor rgb="FFB8CCE4"/>
      </patternFill>
    </fill>
    <fill>
      <patternFill patternType="solid">
        <fgColor rgb="FFD0CECE"/>
        <bgColor rgb="FFD0CECE"/>
      </patternFill>
    </fill>
    <fill>
      <patternFill patternType="solid">
        <fgColor rgb="FFE7E6E6"/>
        <bgColor rgb="FFE7E6E6"/>
      </patternFill>
    </fill>
    <fill>
      <patternFill patternType="solid">
        <fgColor rgb="FFDCE6F1"/>
        <bgColor rgb="FFDCE6F1"/>
      </patternFill>
    </fill>
  </fills>
  <borders count="1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horizontal="center" shrinkToFit="0" wrapText="1"/>
    </xf>
    <xf borderId="2" fillId="2" fontId="3" numFmtId="0" xfId="0" applyAlignment="1" applyBorder="1" applyFill="1" applyFont="1">
      <alignment horizontal="center" shrinkToFit="0" wrapText="1"/>
    </xf>
    <xf borderId="3" fillId="0" fontId="4" numFmtId="0" xfId="0" applyBorder="1" applyFont="1"/>
    <xf borderId="4" fillId="0" fontId="4" numFmtId="0" xfId="0" applyBorder="1" applyFont="1"/>
    <xf borderId="5" fillId="0" fontId="4" numFmtId="0" xfId="0" applyBorder="1" applyFont="1"/>
    <xf borderId="6" fillId="2" fontId="3" numFmtId="0" xfId="0" applyAlignment="1" applyBorder="1" applyFill="1" applyFont="1">
      <alignment shrinkToFit="0" wrapText="1"/>
    </xf>
    <xf borderId="7" fillId="3" fontId="2" numFmtId="0" xfId="0" applyAlignment="1" applyBorder="1" applyFill="1" applyFont="1">
      <alignment shrinkToFit="0" vertical="center" wrapText="1"/>
    </xf>
    <xf borderId="7" fillId="3" fontId="2" numFmtId="164" xfId="0" applyAlignment="1" applyBorder="1" applyFill="1" applyFont="1" applyNumberFormat="1">
      <alignment horizontal="center" shrinkToFit="0" vertical="center" wrapText="1"/>
    </xf>
    <xf borderId="7" fillId="0" fontId="2" numFmtId="164" xfId="0" applyAlignment="1" applyBorder="1" applyFont="1" applyNumberFormat="1">
      <alignment shrinkToFit="0" vertical="center" wrapText="1"/>
    </xf>
    <xf borderId="8" fillId="0" fontId="2" numFmtId="0" xfId="0" applyBorder="1" applyFont="1"/>
    <xf borderId="1" fillId="0" fontId="2" numFmtId="0" xfId="0" applyBorder="1" applyFont="1"/>
    <xf borderId="7" fillId="0" fontId="2" numFmtId="0" xfId="0" applyAlignment="1" applyBorder="1" applyFont="1">
      <alignment shrinkToFit="0" vertical="center" wrapText="1"/>
    </xf>
    <xf borderId="7" fillId="0" fontId="2" numFmtId="164" xfId="0" applyAlignment="1" applyBorder="1" applyFont="1" applyNumberFormat="1">
      <alignment horizontal="center" shrinkToFit="0" vertical="center" wrapText="1"/>
    </xf>
    <xf borderId="9" fillId="0" fontId="2" numFmtId="0" xfId="0" applyBorder="1" applyFont="1"/>
    <xf borderId="10" fillId="0" fontId="2" numFmtId="0" xfId="0" applyBorder="1" applyFont="1"/>
    <xf borderId="2" fillId="0" fontId="2" numFmtId="164" xfId="0" applyAlignment="1" applyBorder="1" applyFont="1" applyNumberFormat="1">
      <alignment horizontal="center" shrinkToFit="0" wrapText="1"/>
    </xf>
    <xf borderId="11" fillId="0" fontId="2" numFmtId="164" xfId="0" applyBorder="1" applyFont="1" applyNumberFormat="1"/>
    <xf borderId="0" fillId="0" fontId="2" numFmtId="164" xfId="0" applyFont="1" applyNumberFormat="1"/>
    <xf borderId="10" fillId="4" fontId="3" numFmtId="0" xfId="0" applyAlignment="1" applyBorder="1" applyFill="1" applyFont="1">
      <alignment shrinkToFit="0" wrapText="1"/>
    </xf>
    <xf borderId="12" fillId="4" fontId="3" numFmtId="164" xfId="0" applyAlignment="1" applyBorder="1" applyFill="1" applyFont="1" applyNumberFormat="1">
      <alignment horizontal="center" shrinkToFit="0" wrapText="1"/>
    </xf>
    <xf borderId="13" fillId="4" fontId="3" numFmtId="164" xfId="0" applyAlignment="1" applyBorder="1" applyFill="1" applyFont="1" applyNumberFormat="1">
      <alignment shrinkToFit="0" wrapText="1"/>
    </xf>
    <xf borderId="14" fillId="4" fontId="3" numFmtId="164" xfId="0" applyAlignment="1" applyBorder="1" applyFill="1" applyFont="1" applyNumberFormat="1">
      <alignment shrinkToFit="0" wrapText="1"/>
    </xf>
    <xf borderId="15" fillId="0" fontId="2" numFmtId="0" xfId="0" applyBorder="1" applyFont="1"/>
    <xf borderId="5" fillId="0" fontId="2" numFmtId="0" xfId="0" applyBorder="1" applyFont="1"/>
    <xf borderId="16" fillId="5" fontId="3" numFmtId="0" xfId="0" applyAlignment="1" applyBorder="1" applyFill="1" applyFont="1">
      <alignment shrinkToFit="0" wrapText="1"/>
    </xf>
    <xf borderId="16" fillId="5" fontId="3" numFmtId="164" xfId="0" applyAlignment="1" applyBorder="1" applyFill="1" applyFont="1" applyNumberFormat="1">
      <alignment shrinkToFit="0" wrapText="1"/>
    </xf>
    <xf borderId="16" fillId="4" fontId="3" numFmtId="0" xfId="0" applyAlignment="1" applyBorder="1" applyFill="1" applyFont="1">
      <alignment shrinkToFit="0" wrapText="1"/>
    </xf>
    <xf borderId="16" fillId="4" fontId="3" numFmtId="164" xfId="0" applyAlignment="1" applyBorder="1" applyFill="1" applyFont="1" applyNumberFormat="1">
      <alignment shrinkToFit="0" wrapText="1"/>
    </xf>
    <xf borderId="0" fillId="0" fontId="5" numFmtId="0" xfId="0" applyAlignment="1" applyFont="1">
      <alignment shrinkToFit="0" wrapText="1"/>
    </xf>
    <xf borderId="0" fillId="0" fontId="2" numFmtId="0" xfId="0" applyAlignment="1" applyFont="1">
      <alignment horizontal="center" shrinkToFit="0" wrapText="1"/>
    </xf>
    <xf borderId="16" fillId="2" fontId="3" numFmtId="0" xfId="0" applyBorder="1" applyFill="1" applyFont="1"/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Burndown Sprint 1 · SIGFQ</a:t>
            </a:r>
          </a:p>
        </c:rich>
      </c:tx>
      <c:overlay val="0"/>
    </c:title>
    <c:plotArea>
      <c:layout/>
      <c:lineChart>
        <c:ser>
          <c:idx val="0"/>
          <c:order val="0"/>
          <c:tx>
            <c:v>Real (h)</c:v>
          </c:tx>
          <c:spPr>
            <a:ln cmpd="sng" w="28575">
              <a:solidFill>
                <a:srgbClr val="4472C4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strRef>
              <c:f>'Sprint 1'!$J$26:$J$31</c:f>
            </c:strRef>
          </c:cat>
          <c:val>
            <c:numRef>
              <c:f>'Sprint 1'!$K$26:$K$31</c:f>
              <c:numCache/>
            </c:numRef>
          </c:val>
          <c:smooth val="0"/>
        </c:ser>
        <c:ser>
          <c:idx val="1"/>
          <c:order val="1"/>
          <c:tx>
            <c:v>Ideal (h)</c:v>
          </c:tx>
          <c:spPr>
            <a:ln cmpd="sng" w="19050">
              <a:solidFill>
                <a:srgbClr val="ED7D31">
                  <a:alpha val="100000"/>
                </a:srgbClr>
              </a:solidFill>
              <a:prstDash val="dash"/>
            </a:ln>
          </c:spPr>
          <c:marker>
            <c:symbol val="none"/>
          </c:marker>
          <c:cat>
            <c:strRef>
              <c:f>'Sprint 1'!$J$26:$J$31</c:f>
            </c:strRef>
          </c:cat>
          <c:val>
            <c:numRef>
              <c:f>'Sprint 1'!$L$26:$L$31</c:f>
              <c:numCache/>
            </c:numRef>
          </c:val>
          <c:smooth val="0"/>
        </c:ser>
        <c:axId val="2130943890"/>
        <c:axId val="820522317"/>
      </c:lineChart>
      <c:catAx>
        <c:axId val="21309438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Jornadas de seguimiento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Calibri"/>
              </a:defRPr>
            </a:pPr>
          </a:p>
        </c:txPr>
        <c:crossAx val="820522317"/>
      </c:catAx>
      <c:valAx>
        <c:axId val="8205223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Horas restantes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Calibri"/>
              </a:defRPr>
            </a:pPr>
          </a:p>
        </c:txPr>
        <c:crossAx val="2130943890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Calibri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95250</xdr:colOff>
      <xdr:row>4</xdr:row>
      <xdr:rowOff>0</xdr:rowOff>
    </xdr:from>
    <xdr:ext cx="3838575" cy="7467600"/>
    <xdr:graphicFrame>
      <xdr:nvGraphicFramePr>
        <xdr:cNvPr id="8769838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49.0"/>
    <col customWidth="1" min="2" max="2" width="14.0"/>
    <col customWidth="1" min="3" max="7" width="11.0"/>
    <col customWidth="1" min="8" max="9" width="3.43"/>
    <col customWidth="1" min="10" max="12" width="13.0"/>
    <col customWidth="1" min="13" max="22" width="3.43"/>
    <col customWidth="1" min="23" max="26" width="10.71"/>
  </cols>
  <sheetData>
    <row r="1" ht="30.0" customHeight="1">
      <c r="A1" s="1" t="s">
        <v>0</v>
      </c>
    </row>
    <row r="2" ht="24.0" customHeight="1">
      <c r="A2" s="2" t="s">
        <v>1</v>
      </c>
    </row>
    <row r="3" ht="24.75" customHeight="1">
      <c r="A3" s="3" t="s">
        <v>2</v>
      </c>
      <c r="B3" s="3" t="s">
        <v>3</v>
      </c>
      <c r="C3" s="4" t="s">
        <v>4</v>
      </c>
      <c r="D3" s="5"/>
      <c r="E3" s="5"/>
      <c r="F3" s="5"/>
      <c r="G3" s="6"/>
    </row>
    <row r="4" ht="24.75" customHeight="1">
      <c r="A4" s="7"/>
      <c r="B4" s="7"/>
      <c r="C4" s="8" t="s">
        <v>5</v>
      </c>
      <c r="D4" s="8" t="s">
        <v>6</v>
      </c>
      <c r="E4" s="8" t="s">
        <v>7</v>
      </c>
      <c r="F4" s="8" t="s">
        <v>8</v>
      </c>
      <c r="G4" s="8" t="s">
        <v>9</v>
      </c>
    </row>
    <row r="5" ht="42.75" customHeight="1">
      <c r="A5" s="9" t="s">
        <v>10</v>
      </c>
      <c r="B5" s="10">
        <v>14.0</v>
      </c>
      <c r="C5" s="11">
        <v>3.0</v>
      </c>
      <c r="D5" s="11">
        <v>3.0</v>
      </c>
      <c r="E5" s="11">
        <v>3.0</v>
      </c>
      <c r="F5" s="11">
        <v>3.0</v>
      </c>
      <c r="G5" s="11">
        <v>2.0</v>
      </c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3"/>
    </row>
    <row r="6" ht="42.75" customHeight="1">
      <c r="A6" s="14" t="s">
        <v>11</v>
      </c>
      <c r="B6" s="15">
        <v>17.0</v>
      </c>
      <c r="C6" s="11">
        <v>5.0</v>
      </c>
      <c r="D6" s="11">
        <v>6.0</v>
      </c>
      <c r="E6" s="11">
        <v>6.0</v>
      </c>
      <c r="F6" s="11">
        <v>0.0</v>
      </c>
      <c r="G6" s="11">
        <v>0.0</v>
      </c>
      <c r="W6" s="16"/>
    </row>
    <row r="7" ht="42.75" customHeight="1">
      <c r="A7" s="9" t="s">
        <v>12</v>
      </c>
      <c r="B7" s="10">
        <v>14.0</v>
      </c>
      <c r="C7" s="11">
        <v>3.0</v>
      </c>
      <c r="D7" s="11">
        <v>3.0</v>
      </c>
      <c r="E7" s="11">
        <v>3.0</v>
      </c>
      <c r="F7" s="11">
        <v>3.0</v>
      </c>
      <c r="G7" s="11">
        <v>2.0</v>
      </c>
      <c r="W7" s="16"/>
    </row>
    <row r="8" ht="42.75" customHeight="1">
      <c r="A8" s="14" t="s">
        <v>13</v>
      </c>
      <c r="B8" s="15">
        <v>12.0</v>
      </c>
      <c r="C8" s="11">
        <v>0.0</v>
      </c>
      <c r="D8" s="11">
        <v>0.0</v>
      </c>
      <c r="E8" s="11">
        <v>0.0</v>
      </c>
      <c r="F8" s="11">
        <v>6.0</v>
      </c>
      <c r="G8" s="11">
        <v>6.0</v>
      </c>
      <c r="W8" s="16"/>
    </row>
    <row r="9">
      <c r="A9" s="17"/>
      <c r="B9" s="18"/>
      <c r="C9" s="19"/>
      <c r="D9" s="20"/>
      <c r="E9" s="20"/>
      <c r="F9" s="20"/>
      <c r="G9" s="20"/>
      <c r="W9" s="16"/>
    </row>
    <row r="10" ht="31.5" customHeight="1">
      <c r="A10" s="21" t="s">
        <v>14</v>
      </c>
      <c r="B10" s="22">
        <f>SUM(C10:G10)</f>
        <v>57</v>
      </c>
      <c r="C10" s="23">
        <f t="shared" ref="C10:G10" si="1">SUM(C5:C8)</f>
        <v>11</v>
      </c>
      <c r="D10" s="24">
        <f t="shared" si="1"/>
        <v>12</v>
      </c>
      <c r="E10" s="24">
        <f t="shared" si="1"/>
        <v>12</v>
      </c>
      <c r="F10" s="24">
        <f t="shared" si="1"/>
        <v>12</v>
      </c>
      <c r="G10" s="24">
        <f t="shared" si="1"/>
        <v>10</v>
      </c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6"/>
    </row>
    <row r="11">
      <c r="B11" s="20"/>
      <c r="C11" s="20"/>
      <c r="D11" s="20"/>
      <c r="E11" s="20"/>
      <c r="F11" s="20"/>
      <c r="G11" s="20"/>
    </row>
    <row r="12" ht="31.5" customHeight="1">
      <c r="A12" s="27" t="s">
        <v>15</v>
      </c>
      <c r="B12" s="28">
        <f>SUM(B5:B8)</f>
        <v>57</v>
      </c>
      <c r="C12" s="28">
        <f t="shared" ref="C12:G12" si="2">B12-C10</f>
        <v>46</v>
      </c>
      <c r="D12" s="28">
        <f t="shared" si="2"/>
        <v>34</v>
      </c>
      <c r="E12" s="28">
        <f t="shared" si="2"/>
        <v>22</v>
      </c>
      <c r="F12" s="28">
        <f t="shared" si="2"/>
        <v>10</v>
      </c>
      <c r="G12" s="28">
        <f t="shared" si="2"/>
        <v>0</v>
      </c>
    </row>
    <row r="13">
      <c r="B13" s="20"/>
      <c r="C13" s="20"/>
      <c r="D13" s="20"/>
      <c r="E13" s="20"/>
      <c r="F13" s="20"/>
      <c r="G13" s="20"/>
    </row>
    <row r="14" ht="31.5" customHeight="1">
      <c r="A14" s="29" t="s">
        <v>16</v>
      </c>
      <c r="B14" s="30">
        <f>B12</f>
        <v>57</v>
      </c>
      <c r="C14" s="30">
        <f>$B$14*(1-1/5)</f>
        <v>45.6</v>
      </c>
      <c r="D14" s="30">
        <f>$B$14*(1-2/5)</f>
        <v>34.2</v>
      </c>
      <c r="E14" s="30">
        <f>$B$14*(1-3/5)</f>
        <v>22.8</v>
      </c>
      <c r="F14" s="30">
        <f>$B$14*(1-4/5)</f>
        <v>11.4</v>
      </c>
      <c r="G14" s="30">
        <f>$B$14*(1-5/5)</f>
        <v>0</v>
      </c>
    </row>
    <row r="16" ht="27.75" customHeight="1">
      <c r="A16" s="31" t="s">
        <v>17</v>
      </c>
    </row>
    <row r="17" ht="48.75" customHeight="1">
      <c r="A17" s="31" t="s">
        <v>18</v>
      </c>
    </row>
    <row r="18" ht="48.75" customHeight="1">
      <c r="A18" s="31" t="s">
        <v>19</v>
      </c>
    </row>
    <row r="19" ht="48.75" customHeight="1">
      <c r="A19" s="31" t="s">
        <v>20</v>
      </c>
    </row>
    <row r="20" ht="48.75" customHeight="1">
      <c r="A20" s="31" t="s">
        <v>21</v>
      </c>
    </row>
    <row r="21" ht="15.75" customHeight="1">
      <c r="B21" s="32"/>
      <c r="G21" s="32"/>
    </row>
    <row r="22" ht="15.75" customHeight="1">
      <c r="B22" s="32"/>
      <c r="G22" s="32"/>
    </row>
    <row r="23" ht="15.75" customHeight="1">
      <c r="B23" s="32"/>
    </row>
    <row r="24" ht="15.75" customHeight="1">
      <c r="B24" s="32"/>
    </row>
    <row r="25" ht="25.5" customHeight="1">
      <c r="B25" s="32"/>
      <c r="J25" s="33" t="s">
        <v>22</v>
      </c>
      <c r="K25" s="33" t="s">
        <v>23</v>
      </c>
      <c r="L25" s="33" t="s">
        <v>24</v>
      </c>
    </row>
    <row r="26" ht="15.75" customHeight="1">
      <c r="J26" s="34" t="s">
        <v>25</v>
      </c>
      <c r="K26" s="20">
        <f>B12</f>
        <v>57</v>
      </c>
      <c r="L26" s="20">
        <f>B14</f>
        <v>57</v>
      </c>
    </row>
    <row r="27" ht="15.75" customHeight="1">
      <c r="J27" s="34" t="s">
        <v>5</v>
      </c>
      <c r="K27" s="20">
        <f>C12</f>
        <v>46</v>
      </c>
      <c r="L27" s="20">
        <f>C14</f>
        <v>45.6</v>
      </c>
    </row>
    <row r="28" ht="15.75" customHeight="1">
      <c r="J28" s="34" t="s">
        <v>6</v>
      </c>
      <c r="K28" s="20">
        <f>D12</f>
        <v>34</v>
      </c>
      <c r="L28" s="20">
        <f>D14</f>
        <v>34.2</v>
      </c>
    </row>
    <row r="29" ht="15.75" customHeight="1">
      <c r="J29" s="34" t="s">
        <v>7</v>
      </c>
      <c r="K29" s="20">
        <f>E12</f>
        <v>22</v>
      </c>
      <c r="L29" s="20">
        <f>E14</f>
        <v>22.8</v>
      </c>
    </row>
    <row r="30" ht="15.75" customHeight="1">
      <c r="J30" s="34" t="s">
        <v>8</v>
      </c>
      <c r="K30" s="20">
        <f>F12</f>
        <v>10</v>
      </c>
      <c r="L30" s="20">
        <f>F14</f>
        <v>11.4</v>
      </c>
    </row>
    <row r="31" ht="15.75" customHeight="1">
      <c r="J31" s="34" t="s">
        <v>9</v>
      </c>
      <c r="K31" s="20">
        <f>G12</f>
        <v>0</v>
      </c>
      <c r="L31" s="20">
        <f>G14</f>
        <v>0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18:G18"/>
    <mergeCell ref="A19:G19"/>
    <mergeCell ref="A20:G20"/>
    <mergeCell ref="A1:G1"/>
    <mergeCell ref="A2:G2"/>
    <mergeCell ref="A3:A4"/>
    <mergeCell ref="B3:B4"/>
    <mergeCell ref="C3:G3"/>
    <mergeCell ref="A16:G16"/>
    <mergeCell ref="A17:G17"/>
  </mergeCells>
  <printOptions/>
  <pageMargins bottom="0.75" footer="0.0" header="0.0" left="0.7" right="0.7" top="0.75"/>
  <pageSetup paperSize="8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2026-10-08T10:47:58Z</dcterms:created>
  <dc:creator>Jesús Lozano Alvarez</dc:creator>
</cp:coreProperties>
</file>