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gsus\Downloads\"/>
    </mc:Choice>
  </mc:AlternateContent>
  <xr:revisionPtr revIDLastSave="0" documentId="8_{15306B6E-A47D-4C30-8692-D4AF9C2D97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rin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3CEj0YUDneWMGfF8XBNBRDyozGwAIakJ8RgQQEBdIQ="/>
    </ext>
  </extLst>
</workbook>
</file>

<file path=xl/calcChain.xml><?xml version="1.0" encoding="utf-8"?>
<calcChain xmlns="http://schemas.openxmlformats.org/spreadsheetml/2006/main">
  <c r="B21" i="1" l="1"/>
  <c r="L19" i="1"/>
  <c r="K19" i="1"/>
  <c r="J19" i="1"/>
  <c r="I19" i="1"/>
  <c r="H19" i="1"/>
  <c r="G19" i="1"/>
  <c r="F19" i="1"/>
  <c r="B19" i="1" s="1"/>
  <c r="E19" i="1"/>
  <c r="D19" i="1"/>
  <c r="C19" i="1"/>
  <c r="P26" i="1" l="1"/>
  <c r="B23" i="1"/>
  <c r="C21" i="1"/>
  <c r="D23" i="1" l="1"/>
  <c r="Q28" i="1" s="1"/>
  <c r="F23" i="1"/>
  <c r="Q30" i="1" s="1"/>
  <c r="H23" i="1"/>
  <c r="Q32" i="1" s="1"/>
  <c r="J23" i="1"/>
  <c r="Q34" i="1" s="1"/>
  <c r="Q26" i="1"/>
  <c r="C23" i="1"/>
  <c r="Q27" i="1" s="1"/>
  <c r="E23" i="1"/>
  <c r="Q29" i="1" s="1"/>
  <c r="G23" i="1"/>
  <c r="Q31" i="1" s="1"/>
  <c r="I23" i="1"/>
  <c r="Q33" i="1" s="1"/>
  <c r="K23" i="1"/>
  <c r="Q35" i="1" s="1"/>
  <c r="L23" i="1"/>
  <c r="Q36" i="1" s="1"/>
  <c r="D21" i="1"/>
  <c r="P27" i="1"/>
  <c r="E21" i="1" l="1"/>
  <c r="P28" i="1"/>
  <c r="F21" i="1" l="1"/>
  <c r="P29" i="1"/>
  <c r="G21" i="1" l="1"/>
  <c r="P30" i="1"/>
  <c r="H21" i="1" l="1"/>
  <c r="P31" i="1"/>
  <c r="I21" i="1" l="1"/>
  <c r="P32" i="1"/>
  <c r="J21" i="1" l="1"/>
  <c r="P33" i="1"/>
  <c r="K21" i="1" l="1"/>
  <c r="P34" i="1"/>
  <c r="P35" i="1" l="1"/>
  <c r="L21" i="1"/>
  <c r="P36" i="1" s="1"/>
</calcChain>
</file>

<file path=xl/sharedStrings.xml><?xml version="1.0" encoding="utf-8"?>
<sst xmlns="http://schemas.openxmlformats.org/spreadsheetml/2006/main" count="51" uniqueCount="41">
  <si>
    <t>SIGFQ · Burndown Sprint 2</t>
  </si>
  <si>
    <t>21/09/2026–02/10/2026 · 13 historias · 77 tareas · 10 días de seguimiento</t>
  </si>
  <si>
    <t>Historias de usuario</t>
  </si>
  <si>
    <t>Horas estimadas</t>
  </si>
  <si>
    <t>Horas registradas por día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</si>
  <si>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</si>
  <si>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</si>
  <si>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</si>
  <si>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</si>
  <si>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</si>
  <si>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</si>
  <si>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</si>
  <si>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</si>
  <si>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</si>
  <si>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</si>
  <si>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E2-H1 · Catálogo de productos categorías y códigos de barra</t>
  </si>
  <si>
    <t>E2-H2 · Precio base e historial de cambios</t>
  </si>
  <si>
    <t>E2-H3 · Motor de promociones</t>
  </si>
  <si>
    <t>E2-H4 · Restricción de productos con receta</t>
  </si>
  <si>
    <t>E3-H1 · Consulta de stock por sucursal</t>
  </si>
  <si>
    <t>E3-H2 · Lotes vencimientos y salida FEFO</t>
  </si>
  <si>
    <t>E3-H3 · Umbrales y alertas de stock mínimo</t>
  </si>
  <si>
    <t>E3-H4 · Movimientos y alertas de vencimiento</t>
  </si>
  <si>
    <t>E4-H1 · Solicitud y despacho de transferencias</t>
  </si>
  <si>
    <t>E4-H2 · Aprobación y rechazo de transferencias</t>
  </si>
  <si>
    <t>E4-H3 · Recepción de transferencias</t>
  </si>
  <si>
    <t>E4-H4 · Recepción de mercadería</t>
  </si>
  <si>
    <t>E4-H5 · Ajustes trazables de inventario</t>
  </si>
  <si>
    <t>Horas registradas</t>
  </si>
  <si>
    <t>Sistema Integral de Gestión para Farmacia Quilicura (SIGFQ) · CAPSTONE_004D · Duoc UC.</t>
  </si>
  <si>
    <t>Momento</t>
  </si>
  <si>
    <t>Ideal (h)</t>
  </si>
  <si>
    <t>Fuente: Sprint_2_Backlog_SIGFQ_Tareas_por_HU_y_Escenarios (1).xlsx. Cada fila agrega las estimaciones y registros diarios de las tareas de su historia; no se usa el total de cierre para sustituir registros diarios.</t>
  </si>
  <si>
    <t>Inicio</t>
  </si>
  <si>
    <t>PMO Informática · Adaptación de la plantilla oficial de control del Sprint. Las líneas incluyen el valor inicial y se actualizan al editar horas estimadas o registros diarios.</t>
  </si>
  <si>
    <t>Saldo estimación − consumo</t>
  </si>
  <si>
    <t>Referencia ideal de estimación</t>
  </si>
  <si>
    <t>Saldo (h)</t>
  </si>
  <si>
    <t>Indicador: estimación inicial menos consumo registrado. No mide directamente el trabajo pendiente ni acredita aceptación.</t>
  </si>
  <si>
    <t>Cierre conciliado: 113 h estimadas, 81 h registradas y 32 h de diferencia favorable. Las 77 tareas están terminadas y las 13 historias aceptadas por Martín Rodríguez Cid, según confirmación del equipo.</t>
  </si>
  <si>
    <t>Periodo: 21/09/2026 al 02/10/2026; diez días hábiles. Se conservan los registros diarios y la curva original; no se inventan fechas de finalización.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</si>
</sst>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0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DCE6F1"/>
        <bgColor rgb="FFDCE6F1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6" xfId="0" applyFont="1" applyFill="1" applyBorder="1" applyAlignment="1">
      <alignment wrapText="1"/>
    </xf>
    <xf numFmtId="0" fontId="2" fillId="3" borderId="7" xfId="0" applyFont="1" applyFill="1" applyBorder="1" applyAlignment="1">
      <alignment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vertical="center" wrapText="1"/>
    </xf>
    <xf numFmtId="0" fontId="2" fillId="0" borderId="8" xfId="0" applyFont="1" applyBorder="1"/>
    <xf numFmtId="0" fontId="2" fillId="0" borderId="1" xfId="0" applyFont="1" applyBorder="1"/>
    <xf numFmtId="0" fontId="2" fillId="0" borderId="7" xfId="0" applyFont="1" applyBorder="1" applyAlignment="1">
      <alignment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5" xfId="0" applyFont="1" applyBorder="1"/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/>
    <xf numFmtId="0" fontId="3" fillId="4" borderId="11" xfId="0" applyFont="1" applyFill="1" applyBorder="1" applyAlignment="1">
      <alignment wrapText="1"/>
    </xf>
    <xf numFmtId="164" fontId="3" fillId="4" borderId="11" xfId="0" applyNumberFormat="1" applyFont="1" applyFill="1" applyBorder="1" applyAlignment="1">
      <alignment horizontal="center" wrapText="1"/>
    </xf>
    <xf numFmtId="164" fontId="3" fillId="4" borderId="11" xfId="0" applyNumberFormat="1" applyFont="1" applyFill="1" applyBorder="1" applyAlignment="1">
      <alignment wrapText="1"/>
    </xf>
    <xf numFmtId="0" fontId="3" fillId="5" borderId="11" xfId="0" applyFont="1" applyFill="1" applyBorder="1" applyAlignment="1">
      <alignment wrapText="1"/>
    </xf>
    <xf numFmtId="164" fontId="3" fillId="5" borderId="11" xfId="0" applyNumberFormat="1" applyFont="1" applyFill="1" applyBorder="1" applyAlignment="1">
      <alignment horizontal="center" wrapText="1"/>
    </xf>
    <xf numFmtId="164" fontId="3" fillId="5" borderId="11" xfId="0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3" fillId="2" borderId="11" xfId="0" applyFont="1" applyFill="1" applyBorder="1"/>
    <xf numFmtId="0" fontId="6" fillId="0" borderId="0" xfId="0" applyFont="1"/>
    <xf numFmtId="0" fontId="5" fillId="0" borderId="0" xfId="0" applyFont="1" applyAlignment="1">
      <alignment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5" xfId="0" applyFont="1" applyBorder="1"/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L" b="0">
                <a:solidFill>
                  <a:srgbClr val="757575"/>
                </a:solidFill>
                <a:latin typeface="+mn-lt"/>
              </a:rPr>
              <a:t>Burndown Sprint 2 · SIGFQ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Saldo (h)</c:v>
          </c:tx>
          <c:spPr>
            <a:ln w="28575" cmpd="sng">
              <a:solidFill>
                <a:srgbClr val="4472C4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2'!$O$26:$O$36</c:f>
              <c:strCache>
                <c:ptCount val="11"/>
                <c:pt idx="0">
                  <c:v>Inicio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</c:strCache>
            </c:strRef>
          </c:cat>
          <c:val>
            <c:numRef>
              <c:f>'Sprint 2'!$P$26:$P$36</c:f>
              <c:numCache>
                <c:formatCode>0.0</c:formatCode>
                <c:ptCount val="11"/>
                <c:pt idx="0">
                  <c:v>113</c:v>
                </c:pt>
                <c:pt idx="1">
                  <c:v>104</c:v>
                </c:pt>
                <c:pt idx="2">
                  <c:v>95</c:v>
                </c:pt>
                <c:pt idx="3">
                  <c:v>86</c:v>
                </c:pt>
                <c:pt idx="4">
                  <c:v>77</c:v>
                </c:pt>
                <c:pt idx="5">
                  <c:v>68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39</c:v>
                </c:pt>
                <c:pt idx="1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EF-4165-AEC1-5DF9757FD5DE}"/>
            </c:ext>
          </c:extLst>
        </c:ser>
        <c:ser>
          <c:idx val="1"/>
          <c:order val="1"/>
          <c:tx>
            <c:v>Ideal (h)</c:v>
          </c:tx>
          <c:spPr>
            <a:ln w="19050" cmpd="sng">
              <a:solidFill>
                <a:srgbClr val="ED7D3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2'!$O$26:$O$36</c:f>
              <c:strCache>
                <c:ptCount val="11"/>
                <c:pt idx="0">
                  <c:v>Inicio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</c:strCache>
            </c:strRef>
          </c:cat>
          <c:val>
            <c:numRef>
              <c:f>'Sprint 2'!$Q$26:$Q$36</c:f>
              <c:numCache>
                <c:formatCode>0.0</c:formatCode>
                <c:ptCount val="11"/>
                <c:pt idx="0">
                  <c:v>113</c:v>
                </c:pt>
                <c:pt idx="1">
                  <c:v>101.7</c:v>
                </c:pt>
                <c:pt idx="2">
                  <c:v>90.4</c:v>
                </c:pt>
                <c:pt idx="3">
                  <c:v>79.099999999999994</c:v>
                </c:pt>
                <c:pt idx="4">
                  <c:v>67.8</c:v>
                </c:pt>
                <c:pt idx="5">
                  <c:v>56.5</c:v>
                </c:pt>
                <c:pt idx="6">
                  <c:v>45.2</c:v>
                </c:pt>
                <c:pt idx="7">
                  <c:v>33.900000000000006</c:v>
                </c:pt>
                <c:pt idx="8">
                  <c:v>22.599999999999994</c:v>
                </c:pt>
                <c:pt idx="9">
                  <c:v>11.299999999999997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EF-4165-AEC1-5DF9757F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268892"/>
        <c:axId val="1900987372"/>
      </c:lineChart>
      <c:catAx>
        <c:axId val="397268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>
                    <a:solidFill>
                      <a:srgbClr val="000000"/>
                    </a:solidFill>
                    <a:latin typeface="+mn-lt"/>
                  </a:rPr>
                  <a:t>Jornadas de seguimiento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900987372"/>
        <c:crosses val="autoZero"/>
        <c:auto val="1"/>
        <c:lblAlgn val="ctr"/>
        <c:lblOffset val="100"/>
        <c:noMultiLvlLbl val="1"/>
      </c:catAx>
      <c:valAx>
        <c:axId val="1900987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b="0">
                    <a:solidFill>
                      <a:srgbClr val="000000"/>
                    </a:solidFill>
                    <a:latin typeface="+mn-lt"/>
                  </a:rPr>
                  <a:t>Estimación menos consumo (h)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9726889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142875</xdr:colOff>
      <xdr:row>4</xdr:row>
      <xdr:rowOff>0</xdr:rowOff>
    </xdr:from>
    <xdr:ext cx="4695825" cy="8562975"/>
    <xdr:graphicFrame macro="">
      <xdr:nvGraphicFramePr>
        <xdr:cNvPr id="1274249413" name="Chart 1" title="Gráfico">
          <a:extLst>
            <a:ext uri="{FF2B5EF4-FFF2-40B4-BE49-F238E27FC236}">
              <a16:creationId xmlns:a16="http://schemas.microsoft.com/office/drawing/2014/main" id="{00000000-0008-0000-0000-0000C580F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ySplit="4" topLeftCell="A5" activePane="bottomLeft" state="frozen"/>
      <selection pane="bottomLeft" activeCell="B6" sqref="B6"/>
    </sheetView>
  </sheetViews>
  <sheetFormatPr baseColWidth="10" defaultColWidth="14.42578125" defaultRowHeight="15" customHeight="1" x14ac:dyDescent="0.25"/>
  <cols>
    <col min="1" max="1" width="49" customWidth="1"/>
    <col min="2" max="2" width="14" customWidth="1"/>
    <col min="3" max="12" width="11" customWidth="1"/>
    <col min="13" max="14" width="3.42578125" customWidth="1"/>
    <col min="15" max="17" width="13" customWidth="1"/>
    <col min="18" max="22" width="3.42578125" customWidth="1"/>
    <col min="23" max="26" width="10.7109375" customWidth="1"/>
  </cols>
  <sheetData>
    <row r="1" spans="1:23" ht="30" customHeight="1" x14ac:dyDescent="0.3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3" ht="24" customHeight="1" x14ac:dyDescent="0.25">
      <c r="A2" s="26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3" ht="24.75" customHeight="1" x14ac:dyDescent="0.25">
      <c r="A3" s="27" t="s">
        <v>2</v>
      </c>
      <c r="B3" s="27" t="s">
        <v>3</v>
      </c>
      <c r="C3" s="29" t="s">
        <v>4</v>
      </c>
      <c r="D3" s="30"/>
      <c r="E3" s="30"/>
      <c r="F3" s="30"/>
      <c r="G3" s="30"/>
      <c r="H3" s="30"/>
      <c r="I3" s="30"/>
      <c r="J3" s="30"/>
      <c r="K3" s="30"/>
      <c r="L3" s="31"/>
    </row>
    <row r="4" spans="1:23" ht="24.75" customHeight="1" x14ac:dyDescent="0.25">
      <c r="A4" s="28"/>
      <c r="B4" s="28"/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23" ht="42.75" customHeight="1" x14ac:dyDescent="0.25">
      <c r="A5" s="2" t="s">
        <v>15</v>
      </c>
      <c r="B5" s="3">
        <v>8</v>
      </c>
      <c r="C5" s="4">
        <v>3</v>
      </c>
      <c r="D5" s="4">
        <v>3</v>
      </c>
      <c r="E5" s="4">
        <v>2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5"/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42.75" customHeight="1" x14ac:dyDescent="0.25">
      <c r="A6" s="7" t="s">
        <v>16</v>
      </c>
      <c r="B6" s="8">
        <v>9</v>
      </c>
      <c r="C6" s="4">
        <v>0</v>
      </c>
      <c r="D6" s="4">
        <v>0</v>
      </c>
      <c r="E6" s="4">
        <v>1</v>
      </c>
      <c r="F6" s="4">
        <v>3</v>
      </c>
      <c r="G6" s="4">
        <v>3</v>
      </c>
      <c r="H6" s="4">
        <v>2</v>
      </c>
      <c r="I6" s="4">
        <v>0</v>
      </c>
      <c r="J6" s="4">
        <v>0</v>
      </c>
      <c r="K6" s="4">
        <v>0</v>
      </c>
      <c r="L6" s="4">
        <v>0</v>
      </c>
      <c r="W6" s="9"/>
    </row>
    <row r="7" spans="1:23" ht="42.75" customHeight="1" x14ac:dyDescent="0.25">
      <c r="A7" s="2" t="s">
        <v>17</v>
      </c>
      <c r="B7" s="3">
        <v>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2</v>
      </c>
      <c r="J7" s="4">
        <v>2</v>
      </c>
      <c r="K7" s="4">
        <v>2</v>
      </c>
      <c r="L7" s="4">
        <v>2</v>
      </c>
      <c r="W7" s="9"/>
    </row>
    <row r="8" spans="1:23" ht="42.75" customHeight="1" x14ac:dyDescent="0.25">
      <c r="A8" s="7" t="s">
        <v>18</v>
      </c>
      <c r="B8" s="8">
        <v>10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W8" s="9"/>
    </row>
    <row r="9" spans="1:23" ht="42.75" customHeight="1" x14ac:dyDescent="0.25">
      <c r="A9" s="7" t="s">
        <v>19</v>
      </c>
      <c r="B9" s="8">
        <v>8</v>
      </c>
      <c r="C9" s="4">
        <v>3</v>
      </c>
      <c r="D9" s="4">
        <v>3</v>
      </c>
      <c r="E9" s="4">
        <v>2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W9" s="9"/>
    </row>
    <row r="10" spans="1:23" ht="42.75" customHeight="1" x14ac:dyDescent="0.25">
      <c r="A10" s="7" t="s">
        <v>20</v>
      </c>
      <c r="B10" s="8">
        <v>10</v>
      </c>
      <c r="C10" s="4">
        <v>0</v>
      </c>
      <c r="D10" s="4">
        <v>0</v>
      </c>
      <c r="E10" s="4">
        <v>1</v>
      </c>
      <c r="F10" s="4">
        <v>3</v>
      </c>
      <c r="G10" s="4">
        <v>3</v>
      </c>
      <c r="H10" s="4">
        <v>3</v>
      </c>
      <c r="I10" s="4">
        <v>0</v>
      </c>
      <c r="J10" s="4">
        <v>0</v>
      </c>
      <c r="K10" s="4">
        <v>0</v>
      </c>
      <c r="L10" s="4">
        <v>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42.75" customHeight="1" x14ac:dyDescent="0.25">
      <c r="A11" s="7" t="s">
        <v>21</v>
      </c>
      <c r="B11" s="4">
        <v>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2</v>
      </c>
      <c r="J11" s="4">
        <v>2</v>
      </c>
      <c r="K11" s="4">
        <v>2</v>
      </c>
      <c r="L11" s="4">
        <v>2</v>
      </c>
    </row>
    <row r="12" spans="1:23" ht="42.75" customHeight="1" x14ac:dyDescent="0.25">
      <c r="A12" s="7" t="s">
        <v>22</v>
      </c>
      <c r="B12" s="4">
        <v>10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</row>
    <row r="13" spans="1:23" ht="42.75" customHeight="1" x14ac:dyDescent="0.25">
      <c r="A13" s="7" t="s">
        <v>23</v>
      </c>
      <c r="B13" s="4">
        <v>8</v>
      </c>
      <c r="C13" s="4">
        <v>3</v>
      </c>
      <c r="D13" s="4">
        <v>3</v>
      </c>
      <c r="E13" s="4">
        <v>2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</row>
    <row r="14" spans="1:23" ht="42.75" customHeight="1" x14ac:dyDescent="0.25">
      <c r="A14" s="7" t="s">
        <v>24</v>
      </c>
      <c r="B14" s="4">
        <v>8</v>
      </c>
      <c r="C14" s="4">
        <v>0</v>
      </c>
      <c r="D14" s="4">
        <v>0</v>
      </c>
      <c r="E14" s="4">
        <v>1</v>
      </c>
      <c r="F14" s="4">
        <v>3</v>
      </c>
      <c r="G14" s="4">
        <v>3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</row>
    <row r="15" spans="1:23" ht="42.75" customHeight="1" x14ac:dyDescent="0.25">
      <c r="A15" s="7" t="s">
        <v>25</v>
      </c>
      <c r="B15" s="4">
        <v>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3</v>
      </c>
      <c r="J15" s="4">
        <v>3</v>
      </c>
      <c r="K15" s="4">
        <v>0</v>
      </c>
      <c r="L15" s="4">
        <v>0</v>
      </c>
    </row>
    <row r="16" spans="1:23" ht="42.75" customHeight="1" x14ac:dyDescent="0.25">
      <c r="A16" s="7" t="s">
        <v>26</v>
      </c>
      <c r="B16" s="8">
        <v>10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3</v>
      </c>
      <c r="L16" s="4">
        <v>3</v>
      </c>
    </row>
    <row r="17" spans="1:17" ht="42.75" customHeight="1" x14ac:dyDescent="0.25">
      <c r="A17" s="7" t="s">
        <v>27</v>
      </c>
      <c r="B17" s="8">
        <v>8</v>
      </c>
      <c r="C17" s="4">
        <v>0</v>
      </c>
      <c r="D17" s="4">
        <v>0</v>
      </c>
      <c r="E17" s="4">
        <v>0</v>
      </c>
      <c r="F17" s="4">
        <v>0</v>
      </c>
      <c r="G17" s="8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7" x14ac:dyDescent="0.25">
      <c r="B18" s="12"/>
      <c r="C18" s="13"/>
      <c r="D18" s="13"/>
      <c r="E18" s="13"/>
      <c r="F18" s="13"/>
      <c r="G18" s="12"/>
      <c r="H18" s="13"/>
      <c r="I18" s="13"/>
      <c r="J18" s="13"/>
      <c r="K18" s="13"/>
      <c r="L18" s="13"/>
    </row>
    <row r="19" spans="1:17" ht="31.5" customHeight="1" x14ac:dyDescent="0.25">
      <c r="A19" s="14" t="s">
        <v>28</v>
      </c>
      <c r="B19" s="15">
        <f>SUM(C19:L19)</f>
        <v>81</v>
      </c>
      <c r="C19" s="16">
        <f t="shared" ref="C19:L19" si="0">SUM(C5:C17)</f>
        <v>9</v>
      </c>
      <c r="D19" s="16">
        <f t="shared" si="0"/>
        <v>9</v>
      </c>
      <c r="E19" s="16">
        <f t="shared" si="0"/>
        <v>9</v>
      </c>
      <c r="F19" s="16">
        <f t="shared" si="0"/>
        <v>9</v>
      </c>
      <c r="G19" s="15">
        <f t="shared" si="0"/>
        <v>9</v>
      </c>
      <c r="H19" s="16">
        <f t="shared" si="0"/>
        <v>8</v>
      </c>
      <c r="I19" s="16">
        <f t="shared" si="0"/>
        <v>7</v>
      </c>
      <c r="J19" s="16">
        <f t="shared" si="0"/>
        <v>7</v>
      </c>
      <c r="K19" s="16">
        <f t="shared" si="0"/>
        <v>7</v>
      </c>
      <c r="L19" s="16">
        <f t="shared" si="0"/>
        <v>7</v>
      </c>
    </row>
    <row r="20" spans="1:17" x14ac:dyDescent="0.25">
      <c r="B20" s="12"/>
      <c r="C20" s="13"/>
      <c r="D20" s="13"/>
      <c r="E20" s="13"/>
      <c r="F20" s="13"/>
      <c r="G20" s="12"/>
      <c r="H20" s="13"/>
      <c r="I20" s="13"/>
      <c r="J20" s="13"/>
      <c r="K20" s="13"/>
      <c r="L20" s="13"/>
    </row>
    <row r="21" spans="1:17" ht="31.5" customHeight="1" x14ac:dyDescent="0.25">
      <c r="A21" s="17" t="s">
        <v>35</v>
      </c>
      <c r="B21" s="18">
        <f>SUM(B5:B17)</f>
        <v>113</v>
      </c>
      <c r="C21" s="19">
        <f t="shared" ref="C21:L21" si="1">B21-C19</f>
        <v>104</v>
      </c>
      <c r="D21" s="19">
        <f t="shared" si="1"/>
        <v>95</v>
      </c>
      <c r="E21" s="19">
        <f t="shared" si="1"/>
        <v>86</v>
      </c>
      <c r="F21" s="19">
        <f t="shared" si="1"/>
        <v>77</v>
      </c>
      <c r="G21" s="18">
        <f t="shared" si="1"/>
        <v>68</v>
      </c>
      <c r="H21" s="19">
        <f t="shared" si="1"/>
        <v>60</v>
      </c>
      <c r="I21" s="19">
        <f t="shared" si="1"/>
        <v>53</v>
      </c>
      <c r="J21" s="19">
        <f t="shared" si="1"/>
        <v>46</v>
      </c>
      <c r="K21" s="19">
        <f t="shared" si="1"/>
        <v>39</v>
      </c>
      <c r="L21" s="19">
        <f t="shared" si="1"/>
        <v>32</v>
      </c>
    </row>
    <row r="22" spans="1:17" ht="15.75" customHeight="1" x14ac:dyDescent="0.25">
      <c r="B22" s="12"/>
      <c r="C22" s="13"/>
      <c r="D22" s="13"/>
      <c r="E22" s="13"/>
      <c r="F22" s="13"/>
      <c r="G22" s="12"/>
      <c r="H22" s="13"/>
      <c r="I22" s="13"/>
      <c r="J22" s="13"/>
      <c r="K22" s="13"/>
      <c r="L22" s="13"/>
    </row>
    <row r="23" spans="1:17" ht="31.5" customHeight="1" x14ac:dyDescent="0.25">
      <c r="A23" s="14" t="s">
        <v>36</v>
      </c>
      <c r="B23" s="15">
        <f>B21</f>
        <v>113</v>
      </c>
      <c r="C23" s="16">
        <f>$B$23*(1-1/10)</f>
        <v>101.7</v>
      </c>
      <c r="D23" s="16">
        <f>$B$23*(1-2/10)</f>
        <v>90.4</v>
      </c>
      <c r="E23" s="16">
        <f>$B$23*(1-3/10)</f>
        <v>79.099999999999994</v>
      </c>
      <c r="F23" s="16">
        <f>$B$23*(1-4/10)</f>
        <v>67.8</v>
      </c>
      <c r="G23" s="16">
        <f>$B$23*(1-5/10)</f>
        <v>56.5</v>
      </c>
      <c r="H23" s="16">
        <f>$B$23*(1-6/10)</f>
        <v>45.2</v>
      </c>
      <c r="I23" s="16">
        <f>$B$23*(1-7/10)</f>
        <v>33.900000000000006</v>
      </c>
      <c r="J23" s="16">
        <f>$B$23*(1-8/10)</f>
        <v>22.599999999999994</v>
      </c>
      <c r="K23" s="16">
        <f>$B$23*(1-9/10)</f>
        <v>11.299999999999997</v>
      </c>
      <c r="L23" s="16">
        <f>$B$23*(1-10/10)</f>
        <v>0</v>
      </c>
    </row>
    <row r="24" spans="1:17" ht="15.75" customHeight="1" x14ac:dyDescent="0.25">
      <c r="B24" s="20"/>
    </row>
    <row r="25" spans="1:17" ht="25.5" customHeight="1" x14ac:dyDescent="0.25">
      <c r="A25" s="23" t="s">
        <v>29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O25" s="21" t="s">
        <v>30</v>
      </c>
      <c r="P25" s="21" t="s">
        <v>37</v>
      </c>
      <c r="Q25" s="21" t="s">
        <v>31</v>
      </c>
    </row>
    <row r="26" spans="1:17" ht="48.75" customHeight="1" x14ac:dyDescent="0.25">
      <c r="A26" s="23" t="s">
        <v>32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O26" s="22" t="s">
        <v>33</v>
      </c>
      <c r="P26" s="13">
        <f>B21</f>
        <v>113</v>
      </c>
      <c r="Q26" s="13">
        <f>B23</f>
        <v>113</v>
      </c>
    </row>
    <row r="27" spans="1:17" ht="48.75" customHeight="1" x14ac:dyDescent="0.25">
      <c r="A27" s="23" t="s">
        <v>38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O27" s="22" t="s">
        <v>5</v>
      </c>
      <c r="P27" s="13">
        <f>C21</f>
        <v>104</v>
      </c>
      <c r="Q27" s="13">
        <f>C23</f>
        <v>101.7</v>
      </c>
    </row>
    <row r="28" spans="1:17" ht="48.75" customHeight="1" x14ac:dyDescent="0.25">
      <c r="A28" s="23" t="s">
        <v>39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O28" s="22" t="s">
        <v>6</v>
      </c>
      <c r="P28" s="13">
        <f>D21</f>
        <v>95</v>
      </c>
      <c r="Q28" s="13">
        <f>D23</f>
        <v>90.4</v>
      </c>
    </row>
    <row r="29" spans="1:17" ht="48.75" customHeight="1" x14ac:dyDescent="0.25">
      <c r="A29" s="23" t="s">
        <v>40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O29" s="22" t="s">
        <v>7</v>
      </c>
      <c r="P29" s="13">
        <f>E21</f>
        <v>86</v>
      </c>
      <c r="Q29" s="13">
        <f>E23</f>
        <v>79.099999999999994</v>
      </c>
    </row>
    <row r="30" spans="1:17" ht="48.75" customHeight="1" x14ac:dyDescent="0.25">
      <c r="A30" s="23" t="s">
        <v>34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O30" s="22" t="s">
        <v>8</v>
      </c>
      <c r="P30" s="13">
        <f>F21</f>
        <v>77</v>
      </c>
      <c r="Q30" s="13">
        <f>F23</f>
        <v>67.8</v>
      </c>
    </row>
    <row r="31" spans="1:17" ht="15.75" customHeight="1" x14ac:dyDescent="0.25">
      <c r="O31" s="22" t="s">
        <v>9</v>
      </c>
      <c r="P31" s="13">
        <f>G21</f>
        <v>68</v>
      </c>
      <c r="Q31" s="13">
        <f>G23</f>
        <v>56.5</v>
      </c>
    </row>
    <row r="32" spans="1:17" ht="15.75" customHeight="1" x14ac:dyDescent="0.25">
      <c r="O32" s="22" t="s">
        <v>10</v>
      </c>
      <c r="P32" s="13">
        <f>H21</f>
        <v>60</v>
      </c>
      <c r="Q32" s="13">
        <f>H23</f>
        <v>45.2</v>
      </c>
    </row>
    <row r="33" spans="15:17" ht="15.75" customHeight="1" x14ac:dyDescent="0.25">
      <c r="O33" s="22" t="s">
        <v>11</v>
      </c>
      <c r="P33" s="13">
        <f>I21</f>
        <v>53</v>
      </c>
      <c r="Q33" s="13">
        <f>I23</f>
        <v>33.900000000000006</v>
      </c>
    </row>
    <row r="34" spans="15:17" ht="15.75" customHeight="1" x14ac:dyDescent="0.25">
      <c r="O34" s="22" t="s">
        <v>12</v>
      </c>
      <c r="P34" s="13">
        <f>J21</f>
        <v>46</v>
      </c>
      <c r="Q34" s="13">
        <f>J23</f>
        <v>22.599999999999994</v>
      </c>
    </row>
    <row r="35" spans="15:17" ht="15.75" customHeight="1" x14ac:dyDescent="0.25">
      <c r="O35" s="22" t="s">
        <v>13</v>
      </c>
      <c r="P35" s="13">
        <f>K21</f>
        <v>39</v>
      </c>
      <c r="Q35" s="13">
        <f>K23</f>
        <v>11.299999999999997</v>
      </c>
    </row>
    <row r="36" spans="15:17" ht="15.75" customHeight="1" x14ac:dyDescent="0.25">
      <c r="O36" s="22" t="s">
        <v>14</v>
      </c>
      <c r="P36" s="13">
        <f>L21</f>
        <v>32</v>
      </c>
      <c r="Q36" s="13">
        <f>L23</f>
        <v>0</v>
      </c>
    </row>
    <row r="37" spans="15:17" ht="15.75" customHeight="1" x14ac:dyDescent="0.25"/>
    <row r="38" spans="15:17" ht="15.75" customHeight="1" x14ac:dyDescent="0.25"/>
    <row r="39" spans="15:17" ht="15.75" customHeight="1" x14ac:dyDescent="0.25"/>
    <row r="40" spans="15:17" ht="15.75" customHeight="1" x14ac:dyDescent="0.25"/>
    <row r="41" spans="15:17" ht="15.75" customHeight="1" x14ac:dyDescent="0.25"/>
    <row r="42" spans="15:17" ht="15.75" customHeight="1" x14ac:dyDescent="0.25"/>
    <row r="43" spans="15:17" ht="15.75" customHeight="1" x14ac:dyDescent="0.25"/>
    <row r="44" spans="15:17" ht="15.75" customHeight="1" x14ac:dyDescent="0.25"/>
    <row r="45" spans="15:17" ht="15.75" customHeight="1" x14ac:dyDescent="0.25"/>
    <row r="46" spans="15:17" ht="15.75" customHeight="1" x14ac:dyDescent="0.25"/>
    <row r="47" spans="15:17" ht="15.75" customHeight="1" x14ac:dyDescent="0.25"/>
    <row r="48" spans="15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27:L27"/>
    <mergeCell ref="A28:L28"/>
    <mergeCell ref="A29:L29"/>
    <mergeCell ref="A30:L30"/>
    <mergeCell ref="A1:L1"/>
    <mergeCell ref="A2:L2"/>
    <mergeCell ref="A3:A4"/>
    <mergeCell ref="B3:B4"/>
    <mergeCell ref="C3:L3"/>
    <mergeCell ref="A25:L25"/>
    <mergeCell ref="A26:L26"/>
  </mergeCells>
  <pageMargins left="0.7" right="0.7" top="0.75" bottom="0.75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Lozano Alvarez</dc:creator>
  <cp:lastModifiedBy>JESUS GILBERTO LOZANO ALVAREZ</cp:lastModifiedBy>
  <dcterms:created xsi:type="dcterms:W3CDTF">2026-10-08T10:48:15Z</dcterms:created>
  <dcterms:modified xsi:type="dcterms:W3CDTF">2026-10-09T22:24:29Z</dcterms:modified>
</cp:coreProperties>
</file>