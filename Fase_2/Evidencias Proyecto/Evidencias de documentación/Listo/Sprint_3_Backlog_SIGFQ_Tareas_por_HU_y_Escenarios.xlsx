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Backlog 3" sheetId="1" r:id="rId4"/>
    <sheet state="visible" name="Resumen Sprint 3" sheetId="2" r:id="rId5"/>
    <sheet state="visible" name="Instructivo" sheetId="3" r:id="rId6"/>
  </sheets>
  <definedNames/>
  <calcPr/>
  <extLst>
    <ext uri="GoogleSheetsCustomDataVersion2">
      <go:sheetsCustomData xmlns:go="http://customooxmlschemas.google.com/" r:id="rId7" roundtripDataChecksum="bGbM+1iSz8sqoM+ZD1xfzaxp3tk6zO4r3eEbOMm6y+E="/>
    </ext>
  </extLst>
</workbook>
</file>

<file path=xl/sharedStrings.xml><?xml version="1.0" encoding="utf-8"?>
<sst xmlns="http://schemas.openxmlformats.org/spreadsheetml/2006/main" count="354" uniqueCount="166">
  <si>
    <t>RESUMEN — SPRINT 3 SIGFQ</t>
  </si>
  <si>
    <t>Lista de tareas de la iteración (Sprint Backlog): Instructivo</t>
  </si>
  <si>
    <t>SIGFQ Sprint 3 | 05/10/2026 al 19/10/2026  | 10 días hábiles</t>
  </si>
  <si>
    <t>Elaborado por: pmoinformatica.com</t>
  </si>
  <si>
    <t>Sprint 3 | 05/10/2026 al 19/10/2026. Implementar el Punto de Venta y el comercio electrónico de SIGFQ, integrando caja, ventas, promociones, comprobantes, devoluciones, catálogo online, clientes, carrito y retiro en sucursal.</t>
  </si>
  <si>
    <t>Columna</t>
  </si>
  <si>
    <t>Implementar el Punto de Venta y el comercio electrónico de SIGFQ, integrando caja, ventas, promociones, comprobantes, devoluciones, catálogo online, clientes, carrito y retiro en sucursal.</t>
  </si>
  <si>
    <t>Instrucciones</t>
  </si>
  <si>
    <t>Identificador (ID) de ítem de Product Backlog</t>
  </si>
  <si>
    <t>Código que referencia la historia de usuario comprometida en el Sprint.</t>
  </si>
  <si>
    <t>Enunciado del ítem de Product Backlog</t>
  </si>
  <si>
    <t>Enunciado de la historia de usuario según la documentación vigente del proyecto SIGFQ.</t>
  </si>
  <si>
    <t>Tarea</t>
  </si>
  <si>
    <t>ID</t>
  </si>
  <si>
    <t>Actividad concreta necesaria para implementar la Historia de Usuario. Debe relacionarse directamente con su funcionalidad y, cuando corresponda, con sus escenarios y criterios de aceptación; no se utilizan tareas genéricas como Análisis, Diseño, Codificación o Implementación.</t>
  </si>
  <si>
    <t>Dueño / Voluntario</t>
  </si>
  <si>
    <t>Integrante del Scrum Team que toma responsabilidad de la tarea.</t>
  </si>
  <si>
    <t>Funcionalidad</t>
  </si>
  <si>
    <t>Estatus</t>
  </si>
  <si>
    <t>Estado de la tarea: Por iniciar, En proceso, Hecho o Bloqueado.</t>
  </si>
  <si>
    <t>Orden lógico</t>
  </si>
  <si>
    <t>Horas estimadas totales</t>
  </si>
  <si>
    <t>Estado inicial</t>
  </si>
  <si>
    <t>Estimación inicial de esfuerzo de la tarea; puede ser refinada por el Scrum Team.</t>
  </si>
  <si>
    <t>Día 1 … Día 10</t>
  </si>
  <si>
    <t>Responsable de la historia</t>
  </si>
  <si>
    <t>Registro diario de horas planificadas/consumidas y saldo restante durante los 10 días hábiles del Sprint.</t>
  </si>
  <si>
    <t>Cons.</t>
  </si>
  <si>
    <t>Horas consumidas en la tarea durante el día.</t>
  </si>
  <si>
    <t>Integrante</t>
  </si>
  <si>
    <t>Rest.</t>
  </si>
  <si>
    <t>Horas planificadas</t>
  </si>
  <si>
    <t>Horas restantes luego del consumo del día. Se calcula automáticamente.</t>
  </si>
  <si>
    <t>Total</t>
  </si>
  <si>
    <t>Suma de horas consumidas y saldo restante de cada tarea al finalizar el Sprint.</t>
  </si>
  <si>
    <t>E5-H1</t>
  </si>
  <si>
    <t>Búsqueda y escaneo de productos en POS</t>
  </si>
  <si>
    <t>Por iniciar</t>
  </si>
  <si>
    <t>Martín Rodríguez</t>
  </si>
  <si>
    <t>E5-H2</t>
  </si>
  <si>
    <t>Identificador (ID)
de ítem de Product
Backlog</t>
  </si>
  <si>
    <t>Aplicación automática de promociones en POS</t>
  </si>
  <si>
    <t>Jesús Lozano</t>
  </si>
  <si>
    <t>E5-H5</t>
  </si>
  <si>
    <t>Apertura y cierre de caja</t>
  </si>
  <si>
    <t>Andrés Alvarado</t>
  </si>
  <si>
    <t>E5-H3</t>
  </si>
  <si>
    <t>Finalización de venta y medios de pago</t>
  </si>
  <si>
    <t>E5-H4</t>
  </si>
  <si>
    <t>Comprobante interno de venta</t>
  </si>
  <si>
    <t>E5-H6</t>
  </si>
  <si>
    <t>Anulaciones y devoluciones</t>
  </si>
  <si>
    <t>Dueño /
Voluntario</t>
  </si>
  <si>
    <t>E6-H1</t>
  </si>
  <si>
    <t>Catálogo online y disponibilidad por sucursal</t>
  </si>
  <si>
    <t>E6-H2</t>
  </si>
  <si>
    <t>Registro e inicio de sesión de clientes</t>
  </si>
  <si>
    <t>E6-H3</t>
  </si>
  <si>
    <t>Horas estimadas
totales</t>
  </si>
  <si>
    <t>Compra como invitado</t>
  </si>
  <si>
    <t>E6-H4</t>
  </si>
  <si>
    <t>Carrito online y selección de sucursal de retiro</t>
  </si>
  <si>
    <t xml:space="preserve">Día 1
Lun 05/10
</t>
  </si>
  <si>
    <t>E6-H5</t>
  </si>
  <si>
    <t>Historial de pedidos online del cliente</t>
  </si>
  <si>
    <t xml:space="preserve">Día 2
Mar 06/10
</t>
  </si>
  <si>
    <t>ACUERDOS DEL SPRINT</t>
  </si>
  <si>
    <t xml:space="preserve">Día 3
Mié 07/10
</t>
  </si>
  <si>
    <t xml:space="preserve">Día 4
Jue 08/10
</t>
  </si>
  <si>
    <t>Duración</t>
  </si>
  <si>
    <t xml:space="preserve">Día 5
Vie 09/10
</t>
  </si>
  <si>
    <t>10 días hábiles, del 05/10/2026 al 19/10/2026.</t>
  </si>
  <si>
    <t>Historias incluidas</t>
  </si>
  <si>
    <t>E5-H1, E5-H2, E5-H5, E5-H3, E5-H4, E5-H6, E6-H1, E6-H2, E6-H3, E6-H4 y E6-H5.</t>
  </si>
  <si>
    <t xml:space="preserve">Día 6
Mar 13/10
</t>
  </si>
  <si>
    <t>Búsqueda y escaneo en POS → promociones → apertura de caja → finalización de venta → comprobante → anulaciones/devoluciones → catálogo online → registro de clientes → compra como invitado → carrito y sucursal de retiro → historial de pedidos.</t>
  </si>
  <si>
    <t>Seguimiento</t>
  </si>
  <si>
    <t>Registrar diariamente las horas consumidas y restantes de cada tarea, actualizar su estado y validar cada historia mediante sus escenarios de aceptación.</t>
  </si>
  <si>
    <t xml:space="preserve">Día 7
Mié 14/10
</t>
  </si>
  <si>
    <t>Estructura</t>
  </si>
  <si>
    <t>Las tareas se derivan de las Historias de Usuario de las épicas E5 y E6 y consideran backend, frontend, datos, validaciones, integración y pruebas cuando corresponde.</t>
  </si>
  <si>
    <t xml:space="preserve">Día 8
Jue 15/10
</t>
  </si>
  <si>
    <t xml:space="preserve">Día 9
Vie 16/10
</t>
  </si>
  <si>
    <t xml:space="preserve">Día 10
Lun 19/10
</t>
  </si>
  <si>
    <t>Consumidas</t>
  </si>
  <si>
    <t>Saldo
estim.</t>
  </si>
  <si>
    <t>Como Vendedor / Cajero, necesito buscar o escanear productos en el POS, con la finalidad de agregar rápidamente productos disponibles a una venta.</t>
  </si>
  <si>
    <t>Implementar en backend la búsqueda de productos por código de barra, nombre o identificador dentro de la sucursal activa.</t>
  </si>
  <si>
    <t>Hecho</t>
  </si>
  <si>
    <t>Validar el stock vendible disponible y evitar agregar al POS cantidades superiores a la existencia disponible.</t>
  </si>
  <si>
    <t>Desarrollar la interfaz del POS para búsqueda, escaneo y selección de productos.</t>
  </si>
  <si>
    <t>Implementar el carrito del POS con opciones para agregar, quitar y modificar cantidades.</t>
  </si>
  <si>
    <t>Integrar la búsqueda y el carrito del frontend con los servicios de productos e inventario del backend.</t>
  </si>
  <si>
    <t>Implementar y ejecutar pruebas para los escenarios de producto disponible y producto sin disponibilidad de E5-H1.</t>
  </si>
  <si>
    <t>Como Vendedor / Cajero, necesito aplicar automáticamente las promociones vigentes, con la finalidad de cobrar el precio correcto sin descuentos manuales.</t>
  </si>
  <si>
    <t>Implementar en backend la obtención de promociones vigentes por producto o categoría al calcular el carrito del POS.</t>
  </si>
  <si>
    <t>Comparar promociones coincidentes y seleccionar únicamente la que entregue el menor precio final al cliente.</t>
  </si>
  <si>
    <t>Aplicar automáticamente el precio base cuando no exista una promoción vigente para el producto.</t>
  </si>
  <si>
    <t>Bloquear la aplicación de descuentos manuales por parte del cajero.</t>
  </si>
  <si>
    <t>Mostrar en el POS la promoción aplicada, el precio final y el total recalculado de la venta.</t>
  </si>
  <si>
    <t>Implementar y ejecutar pruebas para promoción vigente, sin promoción y múltiples promociones de E5-H2.</t>
  </si>
  <si>
    <t>Como Vendedor / Cajero, necesito abrir y cerrar caja registrando sus indicadores, con la finalidad de controlar los resultados de la jornada o turno.</t>
  </si>
  <si>
    <t>Implementar la estructura y persistencia de la sesión de caja asociada a usuario, sucursal, fecha/hora y monto inicial.</t>
  </si>
  <si>
    <t>Implementar la apertura de caja permitiendo un monto inicial igual a cero y evitando que el mismo usuario mantenga más de una sesión de caja abierta en la sucursal de trabajo.</t>
  </si>
  <si>
    <t>Implementar el cierre de caja con totales por medio de pago, efectivo esperado, efectivo contado, diferencia, cantidad de ventas y ticket promedio.</t>
  </si>
  <si>
    <t>Desarrollar la interfaz para registrar y confirmar la apertura de caja.</t>
  </si>
  <si>
    <t>Desarrollar la interfaz de cierre de caja mostrando el resumen de indicadores y permitiendo registrar el efectivo contado.</t>
  </si>
  <si>
    <t>Implementar y ejecutar pruebas para los escenarios de apertura y cierre definidos en E5-H5.</t>
  </si>
  <si>
    <t>Como Vendedor / Cajero, necesito finalizar una venta con el medio de pago correspondiente, con la finalidad de registrar la operación y actualizar el inventario central.</t>
  </si>
  <si>
    <t>Validar en backend que exista una caja abierta y que el carrito mantenga stock disponible antes de finalizar la venta.</t>
  </si>
  <si>
    <t>Implementar el registro de los medios de pago permitidos: efectivo, débito, crédito y transferencia.</t>
  </si>
  <si>
    <t>Registrar la venta y su detalle mediante una operación transaccional.</t>
  </si>
  <si>
    <t>Descontar el inventario una sola vez y registrar los movimientos de salida asociados a la venta.</t>
  </si>
  <si>
    <t>Desarrollar e integrar la pantalla de confirmación de venta y selección de medio de pago.</t>
  </si>
  <si>
    <t>Implementar y ejecutar pruebas para venta válida, caja cerrada y actualización única de inventario de E5-H3.</t>
  </si>
  <si>
    <t>Como Vendedor / Cajero, necesito generar un comprobante interno de venta, con la finalidad de entregar respaldo de la operación al cliente.</t>
  </si>
  <si>
    <t>Implementar en backend la generación del comprobante interno a partir de una venta registrada correctamente.</t>
  </si>
  <si>
    <t>Incluir sucursal, venta, fecha, cajero, productos, promociones, total y medio de pago en el comprobante.</t>
  </si>
  <si>
    <t>Incorporar de forma visible la leyenda de comprobante sin validez tributaria.</t>
  </si>
  <si>
    <t>Desarrollar la vista imprimible del comprobante dentro del POS.</t>
  </si>
  <si>
    <t>Integrar la generación automática del comprobante inmediatamente después de finalizar correctamente la venta.</t>
  </si>
  <si>
    <t>Implementar y ejecutar pruebas para la generación y contenido del comprobante de E5-H4.</t>
  </si>
  <si>
    <t>Como Administrador, necesito registrar anulaciones o devoluciones vinculadas a una venta, con la finalidad de corregir operaciones manteniendo historial y control.</t>
  </si>
  <si>
    <t>Implementar la estructura de la operación de reversa vinculada a la venta original, conservando usuario, fecha y motivo.</t>
  </si>
  <si>
    <t>Validar la existencia de la venta original, el motivo y la autorización requerida antes de permitir la operación.</t>
  </si>
  <si>
    <t>Validar que la cantidad devuelta no supere lo comprado en la venta original.</t>
  </si>
  <si>
    <t>Reintegrar unidades al stock solamente cuando las condiciones de la devolución lo permitan y registrar el movimiento correspondiente.</t>
  </si>
  <si>
    <t>Desarrollar e integrar la interfaz para localizar la venta, seleccionar productos o cantidades y registrar el motivo.</t>
  </si>
  <si>
    <t>Implementar y ejecutar pruebas para operación válida, cantidades inválidas y trazabilidad de E5-H6.</t>
  </si>
  <si>
    <t>Como Visitante / Cliente, necesito consultar el catálogo online y la disponibilidad por sucursal, con la finalidad de conocer los productos antes de comprar o acudir a la farmacia.</t>
  </si>
  <si>
    <t>Implementar en backend el servicio de catálogo online considerando únicamente productos publicados y activos.</t>
  </si>
  <si>
    <t>Exponer nombre, precio, información relevante y disponibilidad por sucursal para cada producto.</t>
  </si>
  <si>
    <t>Integrar la disponibilidad del inventario multisucursal en la consulta del catálogo online.</t>
  </si>
  <si>
    <t>Mantener visibles los productos sujetos a receta e impedir que puedan agregarse al carrito online.</t>
  </si>
  <si>
    <t>Desarrollar la interfaz de catálogo, búsqueda y ficha de producto para el canal web.</t>
  </si>
  <si>
    <t>Implementar y ejecutar pruebas para catálogo disponible y producto restringido de E6-H1.</t>
  </si>
  <si>
    <t>Como Cliente, necesito registrarme e iniciar sesión con datos mínimos, con la finalidad de acceder a mis pedidos online.</t>
  </si>
  <si>
    <t>Implementar el registro de cliente utilizando nombre, correo y contraseña como datos mínimos.</t>
  </si>
  <si>
    <t>Validar correo único y almacenar la contraseña mediante un mecanismo seguro de hash.</t>
  </si>
  <si>
    <t>Implementar la autenticación del cliente y la generación de sesión o token para el canal online.</t>
  </si>
  <si>
    <t>Desarrollar las interfaces de registro e inicio de sesión del cliente.</t>
  </si>
  <si>
    <t>Integrar la identidad del cliente autenticado con los pedidos online asociados a su cuenta.</t>
  </si>
  <si>
    <t>Implementar y ejecutar pruebas para registro válido e inicio de sesión inválido de E6-H2.</t>
  </si>
  <si>
    <t>Como Invitado, necesito comprar sin crear una cuenta, con la finalidad de completar la compra de manera simple.</t>
  </si>
  <si>
    <t>Implementar el flujo de compra como invitado solicitando únicamente nombre y correo electrónico.</t>
  </si>
  <si>
    <t>Validar que el checkout de invitado no exija contraseña, dirección ni teléfono.</t>
  </si>
  <si>
    <t>Registrar los datos del invitado directamente en el pedido sin crear una cuenta de cliente.</t>
  </si>
  <si>
    <t>Asegurar que la compra como invitado no genere historial de usuario ni credenciales automáticas.</t>
  </si>
  <si>
    <t>Desarrollar e integrar la opción de continuar la compra como invitado en el checkout.</t>
  </si>
  <si>
    <t>Implementar y ejecutar pruebas para datos mínimos y ausencia de cuenta automática de E6-H3.</t>
  </si>
  <si>
    <t>Como Cliente / Invitado, necesito gestionar el carrito y seleccionar la sucursal de retiro, con la finalidad de definir qué comprar y dónde retirar.</t>
  </si>
  <si>
    <t>Implementar la gestión del carrito online para agregar, quitar y modificar cantidades de productos.</t>
  </si>
  <si>
    <t>Recalcular totales y validar que los productos del carrito sean vendibles online.</t>
  </si>
  <si>
    <t>Revalidar la disponibilidad global de stock al continuar al checkout.</t>
  </si>
  <si>
    <t>Implementar la consulta y selección de sucursales habilitadas para retiro.</t>
  </si>
  <si>
    <t>Asociar el pedido a la sucursal seleccionada aunque posteriormente requiera traslado interno de stock.</t>
  </si>
  <si>
    <t>Integrar y probar el flujo completo de carrito y selección de sucursal según los escenarios de E6-H4.</t>
  </si>
  <si>
    <t>Como Cliente registrado, necesito consultar el historial de mis pedidos online, con la finalidad de revisar estados y compras anteriores.</t>
  </si>
  <si>
    <t>Implementar en backend la consulta de pedidos online del cliente autenticado.</t>
  </si>
  <si>
    <t>Bloqueado</t>
  </si>
  <si>
    <t>Filtrar la consulta para mostrar únicamente los pedidos pertenecientes al cliente que inició sesión.</t>
  </si>
  <si>
    <t>Exponer el estado y la información básica de cada pedido web en el historial.</t>
  </si>
  <si>
    <t>Excluir las ventas presenciales del POS del historial automático del cliente.</t>
  </si>
  <si>
    <t>Desarrollar e integrar la interfaz de Mis pedidos para el cliente registrado.</t>
  </si>
  <si>
    <t>Implementar y ejecutar pruebas de autenticación, pertenencia y exclusión de ventas POS para E6-H5.</t>
  </si>
  <si>
    <t>TOTAL DEL SPRINT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</si>
</sst>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rgb="FF000000"/>
      <name val="Carlito"/>
      <scheme val="minor"/>
    </font>
    <font>
      <b/>
      <sz val="20.0"/>
      <color rgb="FFFFFFFF"/>
      <name val="Carlito"/>
    </font>
    <font>
      <b/>
      <sz val="22.0"/>
      <color rgb="FF000000"/>
      <name val="Carlito"/>
    </font>
    <font/>
    <font>
      <b/>
      <sz val="16.0"/>
      <color rgb="FFFFFFFF"/>
      <name val="Carlito"/>
    </font>
    <font>
      <b/>
      <sz val="12.0"/>
      <color rgb="FFFFFFFF"/>
      <name val="Carlito"/>
    </font>
    <font>
      <b/>
      <sz val="11.0"/>
      <color rgb="FF244A7C"/>
      <name val="Carlito"/>
    </font>
    <font>
      <b/>
      <sz val="11.0"/>
      <color rgb="FFFFFFFF"/>
      <name val="Carlito"/>
    </font>
    <font>
      <sz val="11.0"/>
      <color rgb="FF000000"/>
      <name val="Carlito"/>
    </font>
    <font>
      <sz val="11.0"/>
      <color theme="1"/>
      <name val="Carlito"/>
    </font>
    <font>
      <sz val="10.0"/>
      <color rgb="FF000000"/>
      <name val="Carlito"/>
    </font>
    <font>
      <b/>
      <sz val="13.0"/>
      <color rgb="FF244A7C"/>
      <name val="Carlito"/>
    </font>
    <font>
      <sz val="11.0"/>
      <color theme="1"/>
      <name val="Quattrocento Sans"/>
    </font>
    <font>
      <b/>
      <sz val="10.0"/>
      <color rgb="FFFFFFFF"/>
      <name val="Carlito"/>
    </font>
    <font>
      <b/>
      <sz val="11.0"/>
      <color theme="1"/>
      <name val="Carlito"/>
    </font>
    <font>
      <b/>
      <sz val="9.0"/>
      <color rgb="FFFFFFFF"/>
      <name val="Carlito"/>
    </font>
    <font>
      <sz val="9.0"/>
      <color rgb="FF000000"/>
      <name val="Carlito"/>
    </font>
    <font>
      <sz val="9.0"/>
      <color rgb="FF000000"/>
      <name val="Calibri"/>
    </font>
    <font>
      <b/>
      <sz val="9.0"/>
      <color rgb="FF000000"/>
      <name val="Calibri"/>
    </font>
    <font>
      <sz val="11.0"/>
      <color rgb="FF000000"/>
      <name val="Calibri"/>
    </font>
    <font>
      <b/>
      <sz val="9.0"/>
      <color rgb="FF000000"/>
      <name val="Carlito"/>
    </font>
  </fonts>
  <fills count="9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DE8C4"/>
        <bgColor rgb="FFDDE8C4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F7"/>
        <bgColor rgb="FFD9EAF7"/>
      </patternFill>
    </fill>
  </fills>
  <borders count="14">
    <border/>
    <border>
      <left/>
      <top/>
    </border>
    <border>
      <top/>
    </border>
    <border>
      <right/>
      <top/>
    </border>
    <border>
      <left/>
      <top/>
      <bottom/>
    </border>
    <border>
      <left/>
      <bottom/>
    </border>
    <border>
      <bottom/>
    </border>
    <border>
      <top/>
      <bottom/>
    </border>
    <border>
      <right/>
      <top/>
      <bottom/>
    </border>
    <border>
      <right/>
      <bottom/>
    </border>
    <border>
      <left/>
      <right/>
      <top/>
      <bottom/>
    </border>
    <border>
      <left/>
      <right/>
      <top/>
    </border>
    <border>
      <left/>
      <right/>
      <bottom/>
    </border>
    <border>
      <right/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4" numFmtId="0" xfId="0" applyBorder="1" applyFill="1" applyFont="1"/>
    <xf borderId="5" fillId="0" fontId="3" numFmtId="0" xfId="0" applyBorder="1" applyFont="1"/>
    <xf borderId="4" fillId="2" fontId="5" numFmtId="0" xfId="0" applyAlignment="1" applyBorder="1" applyFill="1" applyFont="1">
      <alignment horizontal="center" readingOrder="0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6" numFmtId="0" xfId="0" applyFont="1"/>
    <xf borderId="0" fillId="0" fontId="6" numFmtId="0" xfId="0" applyAlignment="1" applyFont="1">
      <alignment horizontal="center" shrinkToFit="0" vertical="bottom" wrapText="1"/>
    </xf>
    <xf borderId="10" fillId="3" fontId="7" numFmtId="0" xfId="0" applyAlignment="1" applyBorder="1" applyFill="1" applyFon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shrinkToFit="0" vertical="top" wrapText="1"/>
    </xf>
    <xf borderId="1" fillId="4" fontId="10" numFmtId="0" xfId="0" applyAlignment="1" applyBorder="1" applyFill="1" applyFont="1">
      <alignment horizontal="left" shrinkToFit="0" vertical="center" wrapText="1"/>
    </xf>
    <xf borderId="10" fillId="3" fontId="7" numFmtId="0" xfId="0" applyAlignment="1" applyBorder="1" applyFill="1" applyFont="1">
      <alignment horizontal="center" shrinkToFit="0" wrapText="1"/>
    </xf>
    <xf borderId="10" fillId="3" fontId="7" numFmtId="0" xfId="0" applyAlignment="1" applyBorder="1" applyFill="1" applyFont="1">
      <alignment horizontal="left" shrinkToFit="0" vertical="center" wrapText="1"/>
    </xf>
    <xf borderId="0" fillId="0" fontId="11" numFmtId="0" xfId="0" applyAlignment="1" applyFont="1">
      <alignment vertical="center"/>
    </xf>
    <xf borderId="0" fillId="0" fontId="12" numFmtId="0" xfId="0" applyAlignment="1" applyFont="1">
      <alignment shrinkToFit="0" wrapText="1"/>
    </xf>
    <xf borderId="0" fillId="0" fontId="12" numFmtId="0" xfId="0" applyAlignment="1" applyFont="1">
      <alignment horizontal="left" shrinkToFit="0" vertical="center" wrapText="1"/>
    </xf>
    <xf borderId="0" fillId="0" fontId="9" numFmtId="0" xfId="0" applyAlignment="1" applyFont="1">
      <alignment shrinkToFit="0" wrapText="1"/>
    </xf>
    <xf borderId="11" fillId="3" fontId="13" numFmtId="0" xfId="0" applyAlignment="1" applyBorder="1" applyFill="1" applyFont="1">
      <alignment horizontal="center" shrinkToFit="0" vertical="center" wrapText="1"/>
    </xf>
    <xf borderId="11" fillId="3" fontId="7" numFmtId="0" xfId="0" applyAlignment="1" applyBorder="1" applyFill="1" applyFont="1">
      <alignment horizontal="center" shrinkToFit="0" vertical="center" wrapText="1"/>
    </xf>
    <xf borderId="4" fillId="3" fontId="13" numFmtId="0" xfId="0" applyAlignment="1" applyBorder="1" applyFill="1" applyFont="1">
      <alignment horizontal="center" readingOrder="0" shrinkToFit="0" vertical="center" wrapText="1"/>
    </xf>
    <xf borderId="4" fillId="3" fontId="7" numFmtId="0" xfId="0" applyAlignment="1" applyBorder="1" applyFill="1" applyFont="1">
      <alignment horizontal="center" vertical="bottom"/>
    </xf>
    <xf borderId="0" fillId="0" fontId="14" numFmtId="0" xfId="0" applyAlignment="1" applyFont="1">
      <alignment shrinkToFit="0" wrapText="1"/>
    </xf>
    <xf borderId="0" fillId="0" fontId="9" numFmtId="0" xfId="0" applyAlignment="1" applyFont="1">
      <alignment readingOrder="0" shrinkToFit="0" vertical="bottom" wrapText="1"/>
    </xf>
    <xf borderId="0" fillId="0" fontId="14" numFmtId="0" xfId="0" applyAlignment="1" applyFont="1">
      <alignment shrinkToFit="0" vertical="center" wrapText="1"/>
    </xf>
    <xf borderId="10" fillId="3" fontId="13" numFmtId="0" xfId="0" applyAlignment="1" applyBorder="1" applyFill="1" applyFont="1">
      <alignment horizontal="center" shrinkToFit="0" vertical="center" wrapText="1"/>
    </xf>
    <xf borderId="4" fillId="3" fontId="13" numFmtId="0" xfId="0" applyAlignment="1" applyBorder="1" applyFill="1" applyFont="1">
      <alignment horizontal="center" shrinkToFit="0" vertical="center" wrapText="1"/>
    </xf>
    <xf borderId="0" fillId="0" fontId="13" numFmtId="0" xfId="0" applyAlignment="1" applyFont="1">
      <alignment horizontal="center" vertical="center"/>
    </xf>
    <xf borderId="12" fillId="0" fontId="3" numFmtId="0" xfId="0" applyBorder="1" applyFont="1"/>
    <xf borderId="10" fillId="3" fontId="15" numFmtId="0" xfId="0" applyAlignment="1" applyBorder="1" applyFill="1" applyFont="1">
      <alignment horizontal="center" shrinkToFit="0" vertical="center" wrapText="1"/>
    </xf>
    <xf borderId="10" fillId="5" fontId="7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13" fillId="6" fontId="16" numFmtId="0" xfId="0" applyAlignment="1" applyBorder="1" applyFill="1" applyFont="1">
      <alignment horizontal="left" readingOrder="0" vertical="center"/>
    </xf>
    <xf borderId="13" fillId="6" fontId="8" numFmtId="0" xfId="0" applyAlignment="1" applyBorder="1" applyFill="1" applyFont="1">
      <alignment horizontal="left" readingOrder="0" shrinkToFit="0" vertical="center" wrapText="1"/>
    </xf>
    <xf borderId="0" fillId="6" fontId="8" numFmtId="0" xfId="0" applyAlignment="1" applyFill="1" applyFont="1">
      <alignment horizontal="left" readingOrder="0" shrinkToFit="0" vertical="center" wrapText="1"/>
    </xf>
    <xf borderId="0" fillId="6" fontId="16" numFmtId="0" xfId="0" applyAlignment="1" applyFill="1" applyFont="1">
      <alignment horizontal="left" readingOrder="0"/>
    </xf>
    <xf borderId="0" fillId="6" fontId="17" numFmtId="1" xfId="0" applyAlignment="1" applyFill="1" applyFont="1" applyNumberFormat="1">
      <alignment horizontal="center" readingOrder="0" shrinkToFit="0" wrapText="0"/>
    </xf>
    <xf borderId="0" fillId="5" fontId="17" numFmtId="1" xfId="0" applyAlignment="1" applyFill="1" applyFont="1" applyNumberFormat="1">
      <alignment horizontal="center" shrinkToFit="0" wrapText="0"/>
    </xf>
    <xf borderId="0" fillId="0" fontId="17" numFmtId="1" xfId="0" applyAlignment="1" applyFont="1" applyNumberFormat="1">
      <alignment horizontal="center"/>
    </xf>
    <xf borderId="13" fillId="0" fontId="3" numFmtId="0" xfId="0" applyBorder="1" applyFont="1"/>
    <xf borderId="0" fillId="6" fontId="18" numFmtId="1" xfId="0" applyAlignment="1" applyFill="1" applyFont="1" applyNumberFormat="1">
      <alignment horizontal="center" readingOrder="0" shrinkToFit="0" wrapText="0"/>
    </xf>
    <xf borderId="13" fillId="7" fontId="8" numFmtId="0" xfId="0" applyAlignment="1" applyBorder="1" applyFill="1" applyFont="1">
      <alignment horizontal="left" readingOrder="0" vertical="center"/>
    </xf>
    <xf borderId="13" fillId="7" fontId="8" numFmtId="0" xfId="0" applyAlignment="1" applyBorder="1" applyFill="1" applyFont="1">
      <alignment horizontal="left" readingOrder="0" shrinkToFit="0" vertical="center" wrapText="1"/>
    </xf>
    <xf borderId="0" fillId="7" fontId="8" numFmtId="0" xfId="0" applyAlignment="1" applyFill="1" applyFont="1">
      <alignment horizontal="left" readingOrder="0" shrinkToFit="0" vertical="center" wrapText="1"/>
    </xf>
    <xf borderId="0" fillId="7" fontId="16" numFmtId="0" xfId="0" applyAlignment="1" applyFill="1" applyFont="1">
      <alignment horizontal="left" readingOrder="0"/>
    </xf>
    <xf borderId="0" fillId="7" fontId="17" numFmtId="1" xfId="0" applyAlignment="1" applyFill="1" applyFont="1" applyNumberFormat="1">
      <alignment horizontal="center" readingOrder="0" shrinkToFit="0" wrapText="0"/>
    </xf>
    <xf borderId="13" fillId="6" fontId="8" numFmtId="0" xfId="0" applyAlignment="1" applyBorder="1" applyFill="1" applyFont="1">
      <alignment horizontal="left" readingOrder="0" vertical="center"/>
    </xf>
    <xf borderId="0" fillId="7" fontId="19" numFmtId="0" xfId="0" applyAlignment="1" applyFill="1" applyFont="1">
      <alignment horizontal="center" readingOrder="0" shrinkToFit="0" wrapText="0"/>
    </xf>
    <xf borderId="0" fillId="5" fontId="19" numFmtId="1" xfId="0" applyAlignment="1" applyFill="1" applyFont="1" applyNumberFormat="1">
      <alignment horizontal="center" shrinkToFit="0" wrapText="0"/>
    </xf>
    <xf borderId="0" fillId="5" fontId="19" numFmtId="0" xfId="0" applyAlignment="1" applyFill="1" applyFont="1">
      <alignment horizontal="center" shrinkToFit="0" wrapText="0"/>
    </xf>
    <xf borderId="0" fillId="6" fontId="16" numFmtId="0" xfId="0" applyAlignment="1" applyFill="1" applyFont="1">
      <alignment horizontal="left" readingOrder="0" vertical="bottom"/>
    </xf>
    <xf borderId="0" fillId="6" fontId="19" numFmtId="0" xfId="0" applyAlignment="1" applyFill="1" applyFont="1">
      <alignment horizontal="center" readingOrder="0" shrinkToFit="0" wrapText="0"/>
    </xf>
    <xf borderId="0" fillId="7" fontId="16" numFmtId="0" xfId="0" applyAlignment="1" applyFill="1" applyFont="1">
      <alignment horizontal="left" readingOrder="0" vertical="bottom"/>
    </xf>
    <xf borderId="10" fillId="8" fontId="14" numFmtId="0" xfId="0" applyBorder="1" applyFill="1" applyFont="1"/>
    <xf borderId="10" fillId="8" fontId="14" numFmtId="0" xfId="0" applyAlignment="1" applyBorder="1" applyFill="1" applyFont="1">
      <alignment shrinkToFit="0" wrapText="1"/>
    </xf>
    <xf borderId="10" fillId="8" fontId="20" numFmtId="0" xfId="0" applyAlignment="1" applyBorder="1" applyFill="1" applyFont="1">
      <alignment shrinkToFit="0" vertical="center" wrapText="1"/>
    </xf>
    <xf borderId="10" fillId="8" fontId="18" numFmtId="1" xfId="0" applyAlignment="1" applyBorder="1" applyFill="1" applyFont="1" applyNumberFormat="1">
      <alignment horizontal="center" vertical="center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42.0"/>
    <col customWidth="1" min="3" max="3" width="52.38"/>
    <col customWidth="1" min="4" max="4" width="18.0"/>
    <col customWidth="1" min="5" max="5" width="11.25"/>
    <col customWidth="1" min="6" max="6" width="12.0"/>
    <col customWidth="1" min="7" max="8" width="7.0"/>
    <col customWidth="1" min="9" max="9" width="2.25"/>
    <col customWidth="1" min="10" max="11" width="7.0"/>
    <col customWidth="1" min="12" max="12" width="2.25"/>
    <col customWidth="1" min="13" max="14" width="7.0"/>
    <col customWidth="1" min="15" max="15" width="2.25"/>
    <col customWidth="1" min="16" max="17" width="7.0"/>
    <col customWidth="1" min="18" max="18" width="2.25"/>
    <col customWidth="1" min="19" max="20" width="7.0"/>
    <col customWidth="1" min="21" max="21" width="2.25"/>
    <col customWidth="1" min="22" max="23" width="7.0"/>
    <col customWidth="1" min="24" max="24" width="2.25"/>
    <col customWidth="1" min="25" max="26" width="7.0"/>
    <col customWidth="1" min="27" max="27" width="2.25"/>
    <col customWidth="1" min="28" max="29" width="7.0"/>
    <col customWidth="1" min="30" max="30" width="2.25"/>
    <col customWidth="1" min="31" max="32" width="7.0"/>
    <col customWidth="1" min="33" max="33" width="2.25"/>
    <col customWidth="1" min="34" max="35" width="7.0"/>
    <col customWidth="1" min="36" max="36" width="2.25"/>
    <col customWidth="1" min="37" max="38" width="10.0"/>
    <col customWidth="1" min="39" max="42" width="7.0"/>
  </cols>
  <sheetData>
    <row r="1" ht="36.0" customHeight="1">
      <c r="A1" s="2"/>
      <c r="G1" s="7" t="s">
        <v>2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10"/>
    </row>
    <row r="2" ht="27.75" customHeight="1">
      <c r="G2" s="17" t="s">
        <v>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4"/>
    </row>
    <row r="3" ht="21.75" customHeight="1">
      <c r="A3" s="20"/>
      <c r="G3" s="6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11"/>
    </row>
    <row r="4">
      <c r="A4" s="24" t="s">
        <v>40</v>
      </c>
      <c r="B4" s="25" t="s">
        <v>10</v>
      </c>
      <c r="C4" s="25" t="s">
        <v>12</v>
      </c>
      <c r="D4" s="24" t="s">
        <v>52</v>
      </c>
      <c r="E4" s="24" t="s">
        <v>18</v>
      </c>
      <c r="F4" s="24" t="s">
        <v>58</v>
      </c>
      <c r="G4" s="26" t="s">
        <v>62</v>
      </c>
      <c r="H4" s="9"/>
      <c r="I4" s="10"/>
      <c r="J4" s="26" t="s">
        <v>65</v>
      </c>
      <c r="K4" s="9"/>
      <c r="L4" s="10"/>
      <c r="M4" s="26" t="s">
        <v>67</v>
      </c>
      <c r="N4" s="9"/>
      <c r="O4" s="10"/>
      <c r="P4" s="26" t="s">
        <v>68</v>
      </c>
      <c r="Q4" s="9"/>
      <c r="R4" s="10"/>
      <c r="S4" s="26" t="s">
        <v>70</v>
      </c>
      <c r="T4" s="9"/>
      <c r="U4" s="10"/>
      <c r="V4" s="26" t="s">
        <v>74</v>
      </c>
      <c r="W4" s="9"/>
      <c r="X4" s="10"/>
      <c r="Y4" s="26" t="s">
        <v>78</v>
      </c>
      <c r="Z4" s="9"/>
      <c r="AA4" s="10"/>
      <c r="AB4" s="26" t="s">
        <v>81</v>
      </c>
      <c r="AC4" s="9"/>
      <c r="AD4" s="10"/>
      <c r="AE4" s="26" t="s">
        <v>82</v>
      </c>
      <c r="AF4" s="9"/>
      <c r="AG4" s="10"/>
      <c r="AH4" s="26" t="s">
        <v>83</v>
      </c>
      <c r="AI4" s="10"/>
      <c r="AJ4" s="31"/>
      <c r="AK4" s="32" t="s">
        <v>33</v>
      </c>
      <c r="AL4" s="10"/>
      <c r="AM4" s="33"/>
      <c r="AN4" s="33"/>
      <c r="AO4" s="33"/>
      <c r="AP4" s="33"/>
    </row>
    <row r="5" ht="33.75" customHeight="1">
      <c r="A5" s="34"/>
      <c r="B5" s="34"/>
      <c r="C5" s="34"/>
      <c r="D5" s="34"/>
      <c r="E5" s="34"/>
      <c r="F5" s="34"/>
      <c r="G5" s="35" t="s">
        <v>27</v>
      </c>
      <c r="H5" s="35" t="s">
        <v>30</v>
      </c>
      <c r="I5" s="36"/>
      <c r="J5" s="35" t="s">
        <v>27</v>
      </c>
      <c r="K5" s="35" t="s">
        <v>30</v>
      </c>
      <c r="L5" s="36"/>
      <c r="M5" s="35" t="s">
        <v>27</v>
      </c>
      <c r="N5" s="35" t="s">
        <v>30</v>
      </c>
      <c r="O5" s="36"/>
      <c r="P5" s="35" t="s">
        <v>27</v>
      </c>
      <c r="Q5" s="35" t="s">
        <v>30</v>
      </c>
      <c r="R5" s="36"/>
      <c r="S5" s="35" t="s">
        <v>27</v>
      </c>
      <c r="T5" s="35" t="s">
        <v>30</v>
      </c>
      <c r="U5" s="36"/>
      <c r="V5" s="35" t="s">
        <v>27</v>
      </c>
      <c r="W5" s="35" t="s">
        <v>30</v>
      </c>
      <c r="X5" s="36"/>
      <c r="Y5" s="35" t="s">
        <v>27</v>
      </c>
      <c r="Z5" s="35" t="s">
        <v>30</v>
      </c>
      <c r="AA5" s="36"/>
      <c r="AB5" s="35" t="s">
        <v>27</v>
      </c>
      <c r="AC5" s="35" t="s">
        <v>30</v>
      </c>
      <c r="AD5" s="36"/>
      <c r="AE5" s="35" t="s">
        <v>27</v>
      </c>
      <c r="AF5" s="35" t="s">
        <v>30</v>
      </c>
      <c r="AG5" s="36"/>
      <c r="AH5" s="35" t="s">
        <v>27</v>
      </c>
      <c r="AI5" s="35" t="s">
        <v>30</v>
      </c>
      <c r="AJ5" s="36"/>
      <c r="AK5" s="35" t="s">
        <v>84</v>
      </c>
      <c r="AL5" s="35" t="s">
        <v>85</v>
      </c>
      <c r="AM5" s="37"/>
      <c r="AN5" s="37"/>
      <c r="AO5" s="37"/>
      <c r="AP5" s="37"/>
    </row>
    <row r="6" ht="42.0" customHeight="1">
      <c r="A6" s="38" t="s">
        <v>35</v>
      </c>
      <c r="B6" s="39" t="s">
        <v>86</v>
      </c>
      <c r="C6" s="40" t="s">
        <v>87</v>
      </c>
      <c r="D6" s="41" t="s">
        <v>38</v>
      </c>
      <c r="E6" s="41" t="s">
        <v>88</v>
      </c>
      <c r="F6" s="42">
        <v>2.0</v>
      </c>
      <c r="G6" s="42">
        <v>1.0</v>
      </c>
      <c r="H6" s="42">
        <v>2.0</v>
      </c>
      <c r="I6" s="43"/>
      <c r="J6" s="42">
        <v>1.0</v>
      </c>
      <c r="K6" s="42">
        <v>1.0</v>
      </c>
      <c r="L6" s="43"/>
      <c r="M6" s="42">
        <v>1.0</v>
      </c>
      <c r="N6" s="42">
        <v>1.0</v>
      </c>
      <c r="O6" s="43"/>
      <c r="P6" s="42">
        <v>0.0</v>
      </c>
      <c r="Q6" s="42">
        <v>1.0</v>
      </c>
      <c r="R6" s="43"/>
      <c r="S6" s="42">
        <v>0.0</v>
      </c>
      <c r="T6" s="42">
        <v>1.0</v>
      </c>
      <c r="U6" s="43"/>
      <c r="V6" s="42">
        <v>0.0</v>
      </c>
      <c r="W6" s="42">
        <v>1.0</v>
      </c>
      <c r="X6" s="43"/>
      <c r="Y6" s="42">
        <v>0.0</v>
      </c>
      <c r="Z6" s="42">
        <v>1.0</v>
      </c>
      <c r="AA6" s="43"/>
      <c r="AB6" s="42">
        <v>0.0</v>
      </c>
      <c r="AC6" s="42">
        <v>1.0</v>
      </c>
      <c r="AD6" s="43"/>
      <c r="AE6" s="42">
        <v>0.0</v>
      </c>
      <c r="AF6" s="42">
        <v>1.0</v>
      </c>
      <c r="AG6" s="43"/>
      <c r="AH6" s="42">
        <v>0.0</v>
      </c>
      <c r="AI6" s="42">
        <v>1.0</v>
      </c>
      <c r="AJ6" s="43"/>
      <c r="AK6" s="42">
        <f t="shared" ref="AK6:AK71" si="1">SUM(G6,J6,M6,P6,S6,V6,Y6,AB6,AE6,AH6)</f>
        <v>3</v>
      </c>
      <c r="AL6" s="42">
        <f t="shared" ref="AL6:AL71" si="2">F6-AK6</f>
        <v>-1</v>
      </c>
      <c r="AM6" s="44"/>
      <c r="AN6" s="44"/>
      <c r="AO6" s="44"/>
      <c r="AP6" s="44"/>
    </row>
    <row r="7" ht="42.0" customHeight="1">
      <c r="A7" s="45"/>
      <c r="B7" s="45"/>
      <c r="C7" s="40" t="s">
        <v>89</v>
      </c>
      <c r="D7" s="41" t="s">
        <v>38</v>
      </c>
      <c r="E7" s="41" t="s">
        <v>88</v>
      </c>
      <c r="F7" s="46">
        <v>1.0</v>
      </c>
      <c r="G7" s="42">
        <v>1.0</v>
      </c>
      <c r="H7" s="42">
        <v>1.0</v>
      </c>
      <c r="I7" s="43"/>
      <c r="J7" s="42">
        <v>0.0</v>
      </c>
      <c r="K7" s="42">
        <v>0.0</v>
      </c>
      <c r="L7" s="43"/>
      <c r="M7" s="42">
        <v>0.0</v>
      </c>
      <c r="N7" s="42">
        <v>0.0</v>
      </c>
      <c r="O7" s="43"/>
      <c r="P7" s="42">
        <v>0.0</v>
      </c>
      <c r="Q7" s="42">
        <v>0.0</v>
      </c>
      <c r="R7" s="43"/>
      <c r="S7" s="42">
        <v>0.0</v>
      </c>
      <c r="T7" s="42">
        <v>0.0</v>
      </c>
      <c r="U7" s="43"/>
      <c r="V7" s="42">
        <v>0.0</v>
      </c>
      <c r="W7" s="42">
        <v>0.0</v>
      </c>
      <c r="X7" s="43"/>
      <c r="Y7" s="42">
        <v>0.0</v>
      </c>
      <c r="Z7" s="42">
        <v>0.0</v>
      </c>
      <c r="AA7" s="43"/>
      <c r="AB7" s="42">
        <v>0.0</v>
      </c>
      <c r="AC7" s="42">
        <v>0.0</v>
      </c>
      <c r="AD7" s="43"/>
      <c r="AE7" s="42">
        <v>0.0</v>
      </c>
      <c r="AF7" s="42">
        <v>0.0</v>
      </c>
      <c r="AG7" s="43"/>
      <c r="AH7" s="42">
        <v>0.0</v>
      </c>
      <c r="AI7" s="42">
        <v>0.0</v>
      </c>
      <c r="AJ7" s="43"/>
      <c r="AK7" s="42">
        <f t="shared" si="1"/>
        <v>1</v>
      </c>
      <c r="AL7" s="42">
        <f t="shared" si="2"/>
        <v>0</v>
      </c>
      <c r="AM7" s="44"/>
      <c r="AN7" s="44"/>
      <c r="AO7" s="44"/>
      <c r="AP7" s="44"/>
    </row>
    <row r="8" ht="42.0" customHeight="1">
      <c r="A8" s="45"/>
      <c r="B8" s="45"/>
      <c r="C8" s="40" t="s">
        <v>90</v>
      </c>
      <c r="D8" s="41" t="s">
        <v>38</v>
      </c>
      <c r="E8" s="41" t="s">
        <v>88</v>
      </c>
      <c r="F8" s="42">
        <v>2.0</v>
      </c>
      <c r="G8" s="42">
        <v>1.0</v>
      </c>
      <c r="H8" s="42">
        <v>1.0</v>
      </c>
      <c r="I8" s="43"/>
      <c r="J8" s="42">
        <v>1.0</v>
      </c>
      <c r="K8" s="42">
        <v>1.0</v>
      </c>
      <c r="L8" s="43"/>
      <c r="M8" s="42">
        <v>0.0</v>
      </c>
      <c r="N8" s="42">
        <v>0.0</v>
      </c>
      <c r="O8" s="43"/>
      <c r="P8" s="42">
        <v>0.0</v>
      </c>
      <c r="Q8" s="42">
        <v>0.0</v>
      </c>
      <c r="R8" s="43"/>
      <c r="S8" s="42">
        <v>0.0</v>
      </c>
      <c r="T8" s="42">
        <v>0.0</v>
      </c>
      <c r="U8" s="43"/>
      <c r="V8" s="42">
        <v>0.0</v>
      </c>
      <c r="W8" s="42">
        <v>0.0</v>
      </c>
      <c r="X8" s="43"/>
      <c r="Y8" s="42">
        <v>0.0</v>
      </c>
      <c r="Z8" s="42">
        <v>0.0</v>
      </c>
      <c r="AA8" s="43"/>
      <c r="AB8" s="42">
        <v>0.0</v>
      </c>
      <c r="AC8" s="42">
        <v>0.0</v>
      </c>
      <c r="AD8" s="43"/>
      <c r="AE8" s="42">
        <v>0.0</v>
      </c>
      <c r="AF8" s="42">
        <v>0.0</v>
      </c>
      <c r="AG8" s="43"/>
      <c r="AH8" s="42">
        <v>0.0</v>
      </c>
      <c r="AI8" s="42">
        <v>0.0</v>
      </c>
      <c r="AJ8" s="43"/>
      <c r="AK8" s="42">
        <f t="shared" si="1"/>
        <v>2</v>
      </c>
      <c r="AL8" s="42">
        <f t="shared" si="2"/>
        <v>0</v>
      </c>
      <c r="AM8" s="44"/>
      <c r="AN8" s="44"/>
      <c r="AO8" s="44"/>
      <c r="AP8" s="44"/>
    </row>
    <row r="9" ht="42.0" customHeight="1">
      <c r="A9" s="45"/>
      <c r="B9" s="45"/>
      <c r="C9" s="40" t="s">
        <v>91</v>
      </c>
      <c r="D9" s="41" t="s">
        <v>38</v>
      </c>
      <c r="E9" s="41" t="s">
        <v>88</v>
      </c>
      <c r="F9" s="42">
        <v>1.0</v>
      </c>
      <c r="G9" s="42">
        <v>0.0</v>
      </c>
      <c r="H9" s="42">
        <v>1.0</v>
      </c>
      <c r="I9" s="43"/>
      <c r="J9" s="42">
        <v>0.0</v>
      </c>
      <c r="K9" s="42">
        <v>1.0</v>
      </c>
      <c r="L9" s="43"/>
      <c r="M9" s="42">
        <v>0.0</v>
      </c>
      <c r="N9" s="42">
        <v>0.0</v>
      </c>
      <c r="O9" s="43"/>
      <c r="P9" s="42">
        <v>0.0</v>
      </c>
      <c r="Q9" s="42">
        <v>0.0</v>
      </c>
      <c r="R9" s="43"/>
      <c r="S9" s="42">
        <v>0.0</v>
      </c>
      <c r="T9" s="42">
        <v>0.0</v>
      </c>
      <c r="U9" s="43"/>
      <c r="V9" s="42">
        <v>0.0</v>
      </c>
      <c r="W9" s="42">
        <v>0.0</v>
      </c>
      <c r="X9" s="43"/>
      <c r="Y9" s="42">
        <v>0.0</v>
      </c>
      <c r="Z9" s="42">
        <v>0.0</v>
      </c>
      <c r="AA9" s="43"/>
      <c r="AB9" s="42">
        <v>0.0</v>
      </c>
      <c r="AC9" s="42">
        <v>0.0</v>
      </c>
      <c r="AD9" s="43"/>
      <c r="AE9" s="42">
        <v>0.0</v>
      </c>
      <c r="AF9" s="42">
        <v>0.0</v>
      </c>
      <c r="AG9" s="43"/>
      <c r="AH9" s="42">
        <v>0.0</v>
      </c>
      <c r="AI9" s="42">
        <v>0.0</v>
      </c>
      <c r="AJ9" s="43"/>
      <c r="AK9" s="42">
        <f t="shared" si="1"/>
        <v>0</v>
      </c>
      <c r="AL9" s="42">
        <f t="shared" si="2"/>
        <v>1</v>
      </c>
      <c r="AM9" s="44"/>
      <c r="AN9" s="44"/>
      <c r="AO9" s="44"/>
      <c r="AP9" s="44"/>
    </row>
    <row r="10" ht="42.0" customHeight="1">
      <c r="A10" s="45"/>
      <c r="B10" s="45"/>
      <c r="C10" s="40" t="s">
        <v>92</v>
      </c>
      <c r="D10" s="41" t="s">
        <v>38</v>
      </c>
      <c r="E10" s="41" t="s">
        <v>88</v>
      </c>
      <c r="F10" s="42">
        <v>1.0</v>
      </c>
      <c r="G10" s="42">
        <v>0.0</v>
      </c>
      <c r="H10" s="42">
        <v>1.0</v>
      </c>
      <c r="I10" s="43"/>
      <c r="J10" s="42">
        <v>0.0</v>
      </c>
      <c r="K10" s="42">
        <v>1.0</v>
      </c>
      <c r="L10" s="43"/>
      <c r="M10" s="42">
        <v>1.0</v>
      </c>
      <c r="N10" s="42">
        <v>0.0</v>
      </c>
      <c r="O10" s="43"/>
      <c r="P10" s="42">
        <v>0.0</v>
      </c>
      <c r="Q10" s="42">
        <v>0.0</v>
      </c>
      <c r="R10" s="43"/>
      <c r="S10" s="42">
        <v>0.0</v>
      </c>
      <c r="T10" s="42">
        <v>0.0</v>
      </c>
      <c r="U10" s="43"/>
      <c r="V10" s="42">
        <v>0.0</v>
      </c>
      <c r="W10" s="42">
        <v>0.0</v>
      </c>
      <c r="X10" s="43"/>
      <c r="Y10" s="42">
        <v>0.0</v>
      </c>
      <c r="Z10" s="42">
        <v>0.0</v>
      </c>
      <c r="AA10" s="43"/>
      <c r="AB10" s="42">
        <v>0.0</v>
      </c>
      <c r="AC10" s="42">
        <v>0.0</v>
      </c>
      <c r="AD10" s="43"/>
      <c r="AE10" s="42">
        <v>0.0</v>
      </c>
      <c r="AF10" s="42">
        <v>0.0</v>
      </c>
      <c r="AG10" s="43"/>
      <c r="AH10" s="42">
        <v>0.0</v>
      </c>
      <c r="AI10" s="42">
        <v>0.0</v>
      </c>
      <c r="AJ10" s="43"/>
      <c r="AK10" s="42">
        <f t="shared" si="1"/>
        <v>1</v>
      </c>
      <c r="AL10" s="42">
        <f t="shared" si="2"/>
        <v>0</v>
      </c>
      <c r="AM10" s="44"/>
      <c r="AN10" s="44"/>
      <c r="AO10" s="44"/>
      <c r="AP10" s="44"/>
    </row>
    <row r="11" ht="42.0" customHeight="1">
      <c r="A11" s="11"/>
      <c r="B11" s="11"/>
      <c r="C11" s="40" t="s">
        <v>93</v>
      </c>
      <c r="D11" s="41" t="s">
        <v>38</v>
      </c>
      <c r="E11" s="41" t="s">
        <v>88</v>
      </c>
      <c r="F11" s="42">
        <v>2.0</v>
      </c>
      <c r="G11" s="42">
        <v>0.0</v>
      </c>
      <c r="H11" s="42">
        <v>2.0</v>
      </c>
      <c r="I11" s="43"/>
      <c r="J11" s="42">
        <v>2.0</v>
      </c>
      <c r="K11" s="42">
        <v>0.0</v>
      </c>
      <c r="L11" s="43"/>
      <c r="M11" s="42">
        <v>0.0</v>
      </c>
      <c r="N11" s="42">
        <v>0.0</v>
      </c>
      <c r="O11" s="43"/>
      <c r="P11" s="42">
        <v>0.0</v>
      </c>
      <c r="Q11" s="42">
        <v>0.0</v>
      </c>
      <c r="R11" s="43"/>
      <c r="S11" s="42">
        <v>0.0</v>
      </c>
      <c r="T11" s="42">
        <v>0.0</v>
      </c>
      <c r="U11" s="43"/>
      <c r="V11" s="42">
        <v>0.0</v>
      </c>
      <c r="W11" s="42">
        <v>0.0</v>
      </c>
      <c r="X11" s="43"/>
      <c r="Y11" s="42">
        <v>0.0</v>
      </c>
      <c r="Z11" s="42">
        <v>0.0</v>
      </c>
      <c r="AA11" s="43"/>
      <c r="AB11" s="42">
        <v>0.0</v>
      </c>
      <c r="AC11" s="42">
        <v>0.0</v>
      </c>
      <c r="AD11" s="43"/>
      <c r="AE11" s="42">
        <v>0.0</v>
      </c>
      <c r="AF11" s="42">
        <v>0.0</v>
      </c>
      <c r="AG11" s="43"/>
      <c r="AH11" s="42">
        <v>0.0</v>
      </c>
      <c r="AI11" s="42">
        <v>0.0</v>
      </c>
      <c r="AJ11" s="43"/>
      <c r="AK11" s="42">
        <f t="shared" si="1"/>
        <v>2</v>
      </c>
      <c r="AL11" s="42">
        <f t="shared" si="2"/>
        <v>0</v>
      </c>
      <c r="AM11" s="44"/>
      <c r="AN11" s="44"/>
      <c r="AO11" s="44"/>
      <c r="AP11" s="44"/>
    </row>
    <row r="12" ht="42.0" customHeight="1">
      <c r="A12" s="47" t="s">
        <v>39</v>
      </c>
      <c r="B12" s="48" t="s">
        <v>94</v>
      </c>
      <c r="C12" s="49" t="s">
        <v>95</v>
      </c>
      <c r="D12" s="50" t="s">
        <v>38</v>
      </c>
      <c r="E12" s="50" t="s">
        <v>88</v>
      </c>
      <c r="F12" s="51">
        <v>2.0</v>
      </c>
      <c r="G12" s="51">
        <v>1.0</v>
      </c>
      <c r="H12" s="51">
        <v>1.0</v>
      </c>
      <c r="I12" s="43"/>
      <c r="J12" s="51">
        <v>1.0</v>
      </c>
      <c r="K12" s="51">
        <v>0.0</v>
      </c>
      <c r="L12" s="43"/>
      <c r="M12" s="51">
        <v>0.0</v>
      </c>
      <c r="N12" s="51">
        <v>0.0</v>
      </c>
      <c r="O12" s="43"/>
      <c r="P12" s="51">
        <v>0.0</v>
      </c>
      <c r="Q12" s="51">
        <v>0.0</v>
      </c>
      <c r="R12" s="43"/>
      <c r="S12" s="51">
        <v>0.0</v>
      </c>
      <c r="T12" s="51">
        <v>0.0</v>
      </c>
      <c r="U12" s="43"/>
      <c r="V12" s="51">
        <v>0.0</v>
      </c>
      <c r="W12" s="51">
        <v>0.0</v>
      </c>
      <c r="X12" s="43"/>
      <c r="Y12" s="51">
        <v>0.0</v>
      </c>
      <c r="Z12" s="51">
        <v>0.0</v>
      </c>
      <c r="AA12" s="43"/>
      <c r="AB12" s="51">
        <v>0.0</v>
      </c>
      <c r="AC12" s="51">
        <v>0.0</v>
      </c>
      <c r="AD12" s="43"/>
      <c r="AE12" s="51">
        <v>0.0</v>
      </c>
      <c r="AF12" s="51">
        <v>0.0</v>
      </c>
      <c r="AG12" s="43"/>
      <c r="AH12" s="51">
        <v>0.0</v>
      </c>
      <c r="AI12" s="51">
        <v>0.0</v>
      </c>
      <c r="AJ12" s="43"/>
      <c r="AK12" s="51">
        <f t="shared" si="1"/>
        <v>2</v>
      </c>
      <c r="AL12" s="51">
        <f t="shared" si="2"/>
        <v>0</v>
      </c>
      <c r="AM12" s="44"/>
      <c r="AN12" s="44"/>
      <c r="AO12" s="44"/>
      <c r="AP12" s="44"/>
    </row>
    <row r="13" ht="42.0" customHeight="1">
      <c r="A13" s="45"/>
      <c r="B13" s="45"/>
      <c r="C13" s="49" t="s">
        <v>96</v>
      </c>
      <c r="D13" s="50" t="s">
        <v>38</v>
      </c>
      <c r="E13" s="50" t="s">
        <v>88</v>
      </c>
      <c r="F13" s="51">
        <v>2.0</v>
      </c>
      <c r="G13" s="51">
        <v>1.0</v>
      </c>
      <c r="H13" s="51">
        <v>1.0</v>
      </c>
      <c r="I13" s="43"/>
      <c r="J13" s="51">
        <v>1.0</v>
      </c>
      <c r="K13" s="51">
        <v>1.0</v>
      </c>
      <c r="L13" s="43"/>
      <c r="M13" s="51">
        <v>0.0</v>
      </c>
      <c r="N13" s="51">
        <v>1.0</v>
      </c>
      <c r="O13" s="43"/>
      <c r="P13" s="51">
        <v>0.0</v>
      </c>
      <c r="Q13" s="51">
        <v>1.0</v>
      </c>
      <c r="R13" s="43"/>
      <c r="S13" s="51">
        <v>0.0</v>
      </c>
      <c r="T13" s="51">
        <v>1.0</v>
      </c>
      <c r="U13" s="43"/>
      <c r="V13" s="51">
        <v>0.0</v>
      </c>
      <c r="W13" s="51">
        <v>1.0</v>
      </c>
      <c r="X13" s="43"/>
      <c r="Y13" s="51">
        <v>0.0</v>
      </c>
      <c r="Z13" s="51">
        <v>1.0</v>
      </c>
      <c r="AA13" s="43"/>
      <c r="AB13" s="51">
        <v>0.0</v>
      </c>
      <c r="AC13" s="51">
        <v>1.0</v>
      </c>
      <c r="AD13" s="43"/>
      <c r="AE13" s="51">
        <v>0.0</v>
      </c>
      <c r="AF13" s="51">
        <v>1.0</v>
      </c>
      <c r="AG13" s="43"/>
      <c r="AH13" s="51">
        <v>0.0</v>
      </c>
      <c r="AI13" s="51">
        <v>1.0</v>
      </c>
      <c r="AJ13" s="43"/>
      <c r="AK13" s="51">
        <f t="shared" si="1"/>
        <v>2</v>
      </c>
      <c r="AL13" s="51">
        <f t="shared" si="2"/>
        <v>0</v>
      </c>
      <c r="AM13" s="44"/>
      <c r="AN13" s="44"/>
      <c r="AO13" s="44"/>
      <c r="AP13" s="44"/>
    </row>
    <row r="14" ht="42.0" customHeight="1">
      <c r="A14" s="45"/>
      <c r="B14" s="45"/>
      <c r="C14" s="49" t="s">
        <v>97</v>
      </c>
      <c r="D14" s="50" t="s">
        <v>38</v>
      </c>
      <c r="E14" s="50" t="s">
        <v>88</v>
      </c>
      <c r="F14" s="51">
        <v>1.0</v>
      </c>
      <c r="G14" s="51">
        <v>0.0</v>
      </c>
      <c r="H14" s="51">
        <v>1.0</v>
      </c>
      <c r="I14" s="43"/>
      <c r="J14" s="51">
        <v>1.0</v>
      </c>
      <c r="K14" s="51">
        <v>0.0</v>
      </c>
      <c r="L14" s="43"/>
      <c r="M14" s="51">
        <v>0.0</v>
      </c>
      <c r="N14" s="51">
        <v>0.0</v>
      </c>
      <c r="O14" s="43"/>
      <c r="P14" s="51">
        <v>0.0</v>
      </c>
      <c r="Q14" s="51">
        <v>0.0</v>
      </c>
      <c r="R14" s="43"/>
      <c r="S14" s="51">
        <v>0.0</v>
      </c>
      <c r="T14" s="51">
        <v>0.0</v>
      </c>
      <c r="U14" s="43"/>
      <c r="V14" s="51">
        <v>0.0</v>
      </c>
      <c r="W14" s="51">
        <v>0.0</v>
      </c>
      <c r="X14" s="43"/>
      <c r="Y14" s="51">
        <v>0.0</v>
      </c>
      <c r="Z14" s="51">
        <v>0.0</v>
      </c>
      <c r="AA14" s="43"/>
      <c r="AB14" s="51">
        <v>0.0</v>
      </c>
      <c r="AC14" s="51">
        <v>0.0</v>
      </c>
      <c r="AD14" s="43"/>
      <c r="AE14" s="51">
        <v>0.0</v>
      </c>
      <c r="AF14" s="51">
        <v>0.0</v>
      </c>
      <c r="AG14" s="43"/>
      <c r="AH14" s="51">
        <v>0.0</v>
      </c>
      <c r="AI14" s="51">
        <v>0.0</v>
      </c>
      <c r="AJ14" s="43"/>
      <c r="AK14" s="51">
        <f t="shared" si="1"/>
        <v>1</v>
      </c>
      <c r="AL14" s="51">
        <f t="shared" si="2"/>
        <v>0</v>
      </c>
      <c r="AM14" s="44"/>
      <c r="AN14" s="44"/>
      <c r="AO14" s="44"/>
      <c r="AP14" s="44"/>
    </row>
    <row r="15" ht="42.0" customHeight="1">
      <c r="A15" s="45"/>
      <c r="B15" s="45"/>
      <c r="C15" s="49" t="s">
        <v>98</v>
      </c>
      <c r="D15" s="50" t="s">
        <v>38</v>
      </c>
      <c r="E15" s="50" t="s">
        <v>88</v>
      </c>
      <c r="F15" s="51">
        <v>1.0</v>
      </c>
      <c r="G15" s="51">
        <v>0.0</v>
      </c>
      <c r="H15" s="51">
        <v>1.0</v>
      </c>
      <c r="I15" s="43"/>
      <c r="J15" s="51">
        <v>0.0</v>
      </c>
      <c r="K15" s="51">
        <v>1.0</v>
      </c>
      <c r="L15" s="43"/>
      <c r="M15" s="51">
        <v>0.0</v>
      </c>
      <c r="N15" s="51">
        <v>0.0</v>
      </c>
      <c r="O15" s="43"/>
      <c r="P15" s="51">
        <v>0.0</v>
      </c>
      <c r="Q15" s="51">
        <v>0.0</v>
      </c>
      <c r="R15" s="43"/>
      <c r="S15" s="51">
        <v>0.0</v>
      </c>
      <c r="T15" s="51">
        <v>0.0</v>
      </c>
      <c r="U15" s="43"/>
      <c r="V15" s="51">
        <v>0.0</v>
      </c>
      <c r="W15" s="51">
        <v>0.0</v>
      </c>
      <c r="X15" s="43"/>
      <c r="Y15" s="51">
        <v>0.0</v>
      </c>
      <c r="Z15" s="51">
        <v>0.0</v>
      </c>
      <c r="AA15" s="43"/>
      <c r="AB15" s="51">
        <v>0.0</v>
      </c>
      <c r="AC15" s="51">
        <v>0.0</v>
      </c>
      <c r="AD15" s="43"/>
      <c r="AE15" s="51">
        <v>0.0</v>
      </c>
      <c r="AF15" s="51">
        <v>0.0</v>
      </c>
      <c r="AG15" s="43"/>
      <c r="AH15" s="51">
        <v>0.0</v>
      </c>
      <c r="AI15" s="51">
        <v>0.0</v>
      </c>
      <c r="AJ15" s="43"/>
      <c r="AK15" s="51">
        <f t="shared" si="1"/>
        <v>0</v>
      </c>
      <c r="AL15" s="51">
        <f t="shared" si="2"/>
        <v>1</v>
      </c>
      <c r="AM15" s="44"/>
      <c r="AN15" s="44"/>
      <c r="AO15" s="44"/>
      <c r="AP15" s="44"/>
    </row>
    <row r="16" ht="42.0" customHeight="1">
      <c r="A16" s="45"/>
      <c r="B16" s="45"/>
      <c r="C16" s="49" t="s">
        <v>99</v>
      </c>
      <c r="D16" s="50" t="s">
        <v>38</v>
      </c>
      <c r="E16" s="50" t="s">
        <v>88</v>
      </c>
      <c r="F16" s="51">
        <v>1.0</v>
      </c>
      <c r="G16" s="51">
        <v>0.0</v>
      </c>
      <c r="H16" s="51">
        <v>1.0</v>
      </c>
      <c r="I16" s="43"/>
      <c r="J16" s="51">
        <v>0.0</v>
      </c>
      <c r="K16" s="51">
        <v>1.0</v>
      </c>
      <c r="L16" s="43"/>
      <c r="M16" s="51">
        <v>1.0</v>
      </c>
      <c r="N16" s="51">
        <v>0.0</v>
      </c>
      <c r="O16" s="43"/>
      <c r="P16" s="51">
        <v>0.0</v>
      </c>
      <c r="Q16" s="51">
        <v>0.0</v>
      </c>
      <c r="R16" s="43"/>
      <c r="S16" s="51">
        <v>0.0</v>
      </c>
      <c r="T16" s="51">
        <v>0.0</v>
      </c>
      <c r="U16" s="43"/>
      <c r="V16" s="51">
        <v>0.0</v>
      </c>
      <c r="W16" s="51">
        <v>0.0</v>
      </c>
      <c r="X16" s="43"/>
      <c r="Y16" s="51">
        <v>0.0</v>
      </c>
      <c r="Z16" s="51">
        <v>0.0</v>
      </c>
      <c r="AA16" s="43"/>
      <c r="AB16" s="51">
        <v>0.0</v>
      </c>
      <c r="AC16" s="51">
        <v>0.0</v>
      </c>
      <c r="AD16" s="43"/>
      <c r="AE16" s="51">
        <v>0.0</v>
      </c>
      <c r="AF16" s="51">
        <v>0.0</v>
      </c>
      <c r="AG16" s="43"/>
      <c r="AH16" s="51">
        <v>0.0</v>
      </c>
      <c r="AI16" s="51">
        <v>0.0</v>
      </c>
      <c r="AJ16" s="43"/>
      <c r="AK16" s="51">
        <f t="shared" si="1"/>
        <v>1</v>
      </c>
      <c r="AL16" s="51">
        <f t="shared" si="2"/>
        <v>0</v>
      </c>
      <c r="AM16" s="44"/>
      <c r="AN16" s="44"/>
      <c r="AO16" s="44"/>
      <c r="AP16" s="44"/>
    </row>
    <row r="17" ht="42.0" customHeight="1">
      <c r="A17" s="11"/>
      <c r="B17" s="11"/>
      <c r="C17" s="49" t="s">
        <v>100</v>
      </c>
      <c r="D17" s="50" t="s">
        <v>38</v>
      </c>
      <c r="E17" s="50" t="s">
        <v>88</v>
      </c>
      <c r="F17" s="51">
        <v>1.0</v>
      </c>
      <c r="G17" s="51">
        <v>0.0</v>
      </c>
      <c r="H17" s="51">
        <v>1.0</v>
      </c>
      <c r="I17" s="43"/>
      <c r="J17" s="51">
        <v>1.0</v>
      </c>
      <c r="K17" s="51">
        <v>1.0</v>
      </c>
      <c r="L17" s="43"/>
      <c r="M17" s="51">
        <v>0.0</v>
      </c>
      <c r="N17" s="51">
        <v>0.0</v>
      </c>
      <c r="O17" s="43"/>
      <c r="P17" s="51">
        <v>0.0</v>
      </c>
      <c r="Q17" s="51">
        <v>0.0</v>
      </c>
      <c r="R17" s="43"/>
      <c r="S17" s="51">
        <v>0.0</v>
      </c>
      <c r="T17" s="51">
        <v>0.0</v>
      </c>
      <c r="U17" s="43"/>
      <c r="V17" s="51">
        <v>0.0</v>
      </c>
      <c r="W17" s="51">
        <v>0.0</v>
      </c>
      <c r="X17" s="43"/>
      <c r="Y17" s="51">
        <v>0.0</v>
      </c>
      <c r="Z17" s="51">
        <v>0.0</v>
      </c>
      <c r="AA17" s="43"/>
      <c r="AB17" s="51">
        <v>0.0</v>
      </c>
      <c r="AC17" s="51">
        <v>0.0</v>
      </c>
      <c r="AD17" s="43"/>
      <c r="AE17" s="51">
        <v>0.0</v>
      </c>
      <c r="AF17" s="51">
        <v>0.0</v>
      </c>
      <c r="AG17" s="43"/>
      <c r="AH17" s="51">
        <v>0.0</v>
      </c>
      <c r="AI17" s="51">
        <v>0.0</v>
      </c>
      <c r="AJ17" s="43"/>
      <c r="AK17" s="51">
        <f t="shared" si="1"/>
        <v>1</v>
      </c>
      <c r="AL17" s="51">
        <f t="shared" si="2"/>
        <v>0</v>
      </c>
      <c r="AM17" s="44"/>
      <c r="AN17" s="44"/>
      <c r="AO17" s="44"/>
      <c r="AP17" s="44"/>
    </row>
    <row r="18" ht="42.0" customHeight="1">
      <c r="A18" s="52" t="s">
        <v>43</v>
      </c>
      <c r="B18" s="39" t="s">
        <v>101</v>
      </c>
      <c r="C18" s="40" t="s">
        <v>102</v>
      </c>
      <c r="D18" s="41" t="s">
        <v>42</v>
      </c>
      <c r="E18" s="41" t="s">
        <v>88</v>
      </c>
      <c r="F18" s="42">
        <v>1.0</v>
      </c>
      <c r="G18" s="42">
        <v>0.0</v>
      </c>
      <c r="H18" s="42">
        <v>1.0</v>
      </c>
      <c r="I18" s="43"/>
      <c r="J18" s="42">
        <v>0.0</v>
      </c>
      <c r="K18" s="42">
        <v>1.0</v>
      </c>
      <c r="L18" s="43"/>
      <c r="M18" s="42">
        <v>1.0</v>
      </c>
      <c r="N18" s="42">
        <v>0.0</v>
      </c>
      <c r="O18" s="43"/>
      <c r="P18" s="42">
        <v>0.0</v>
      </c>
      <c r="Q18" s="42">
        <v>0.0</v>
      </c>
      <c r="R18" s="43"/>
      <c r="S18" s="42">
        <v>0.0</v>
      </c>
      <c r="T18" s="42">
        <v>0.0</v>
      </c>
      <c r="U18" s="43"/>
      <c r="V18" s="42">
        <v>0.0</v>
      </c>
      <c r="W18" s="42">
        <v>0.0</v>
      </c>
      <c r="X18" s="43"/>
      <c r="Y18" s="42">
        <v>0.0</v>
      </c>
      <c r="Z18" s="42">
        <v>0.0</v>
      </c>
      <c r="AA18" s="43"/>
      <c r="AB18" s="42">
        <v>0.0</v>
      </c>
      <c r="AC18" s="42">
        <v>0.0</v>
      </c>
      <c r="AD18" s="43"/>
      <c r="AE18" s="42">
        <v>0.0</v>
      </c>
      <c r="AF18" s="42">
        <v>0.0</v>
      </c>
      <c r="AG18" s="43"/>
      <c r="AH18" s="42">
        <v>0.0</v>
      </c>
      <c r="AI18" s="42">
        <v>0.0</v>
      </c>
      <c r="AJ18" s="43"/>
      <c r="AK18" s="42">
        <f t="shared" si="1"/>
        <v>1</v>
      </c>
      <c r="AL18" s="42">
        <f t="shared" si="2"/>
        <v>0</v>
      </c>
      <c r="AM18" s="44"/>
      <c r="AN18" s="44"/>
      <c r="AO18" s="44"/>
      <c r="AP18" s="44"/>
    </row>
    <row r="19" ht="42.0" customHeight="1">
      <c r="A19" s="45"/>
      <c r="B19" s="45"/>
      <c r="C19" s="40" t="s">
        <v>103</v>
      </c>
      <c r="D19" s="41" t="s">
        <v>42</v>
      </c>
      <c r="E19" s="41" t="s">
        <v>88</v>
      </c>
      <c r="F19" s="42">
        <v>2.0</v>
      </c>
      <c r="G19" s="42">
        <v>0.0</v>
      </c>
      <c r="H19" s="42">
        <v>2.0</v>
      </c>
      <c r="I19" s="43"/>
      <c r="J19" s="42">
        <v>1.0</v>
      </c>
      <c r="K19" s="42">
        <v>2.0</v>
      </c>
      <c r="L19" s="43"/>
      <c r="M19" s="42">
        <v>0.0</v>
      </c>
      <c r="N19" s="42">
        <v>1.0</v>
      </c>
      <c r="O19" s="43"/>
      <c r="P19" s="42">
        <v>1.0</v>
      </c>
      <c r="Q19" s="42">
        <v>0.0</v>
      </c>
      <c r="R19" s="43"/>
      <c r="S19" s="42">
        <v>0.0</v>
      </c>
      <c r="T19" s="42">
        <v>0.0</v>
      </c>
      <c r="U19" s="43"/>
      <c r="V19" s="42">
        <v>0.0</v>
      </c>
      <c r="W19" s="42">
        <v>0.0</v>
      </c>
      <c r="X19" s="43"/>
      <c r="Y19" s="42">
        <v>0.0</v>
      </c>
      <c r="Z19" s="42">
        <v>0.0</v>
      </c>
      <c r="AA19" s="43"/>
      <c r="AB19" s="42">
        <v>0.0</v>
      </c>
      <c r="AC19" s="42">
        <v>0.0</v>
      </c>
      <c r="AD19" s="43"/>
      <c r="AE19" s="42">
        <v>0.0</v>
      </c>
      <c r="AF19" s="42">
        <v>0.0</v>
      </c>
      <c r="AG19" s="43"/>
      <c r="AH19" s="42">
        <v>0.0</v>
      </c>
      <c r="AI19" s="42">
        <v>0.0</v>
      </c>
      <c r="AJ19" s="43"/>
      <c r="AK19" s="42">
        <f t="shared" si="1"/>
        <v>2</v>
      </c>
      <c r="AL19" s="42">
        <f t="shared" si="2"/>
        <v>0</v>
      </c>
      <c r="AM19" s="44"/>
      <c r="AN19" s="44"/>
      <c r="AO19" s="44"/>
      <c r="AP19" s="44"/>
    </row>
    <row r="20" ht="42.0" customHeight="1">
      <c r="A20" s="45"/>
      <c r="B20" s="45"/>
      <c r="C20" s="40" t="s">
        <v>104</v>
      </c>
      <c r="D20" s="41" t="s">
        <v>42</v>
      </c>
      <c r="E20" s="41" t="s">
        <v>88</v>
      </c>
      <c r="F20" s="42">
        <v>2.0</v>
      </c>
      <c r="G20" s="42">
        <v>0.0</v>
      </c>
      <c r="H20" s="42">
        <v>2.0</v>
      </c>
      <c r="I20" s="43"/>
      <c r="J20" s="42">
        <v>1.0</v>
      </c>
      <c r="K20" s="42">
        <v>1.0</v>
      </c>
      <c r="L20" s="43"/>
      <c r="M20" s="42">
        <v>0.0</v>
      </c>
      <c r="N20" s="42">
        <v>1.0</v>
      </c>
      <c r="O20" s="43"/>
      <c r="P20" s="42">
        <v>1.0</v>
      </c>
      <c r="Q20" s="42">
        <v>0.0</v>
      </c>
      <c r="R20" s="43"/>
      <c r="S20" s="42">
        <v>0.0</v>
      </c>
      <c r="T20" s="42">
        <v>0.0</v>
      </c>
      <c r="U20" s="43"/>
      <c r="V20" s="42">
        <v>0.0</v>
      </c>
      <c r="W20" s="42">
        <v>0.0</v>
      </c>
      <c r="X20" s="43"/>
      <c r="Y20" s="42">
        <v>0.0</v>
      </c>
      <c r="Z20" s="42">
        <v>0.0</v>
      </c>
      <c r="AA20" s="43"/>
      <c r="AB20" s="42">
        <v>0.0</v>
      </c>
      <c r="AC20" s="42">
        <v>0.0</v>
      </c>
      <c r="AD20" s="43"/>
      <c r="AE20" s="42">
        <v>0.0</v>
      </c>
      <c r="AF20" s="42">
        <v>0.0</v>
      </c>
      <c r="AG20" s="43"/>
      <c r="AH20" s="42">
        <v>0.0</v>
      </c>
      <c r="AI20" s="42">
        <v>0.0</v>
      </c>
      <c r="AJ20" s="43"/>
      <c r="AK20" s="42">
        <f t="shared" si="1"/>
        <v>2</v>
      </c>
      <c r="AL20" s="42">
        <f t="shared" si="2"/>
        <v>0</v>
      </c>
      <c r="AM20" s="44"/>
      <c r="AN20" s="44"/>
      <c r="AO20" s="44"/>
      <c r="AP20" s="44"/>
    </row>
    <row r="21" ht="42.0" customHeight="1">
      <c r="A21" s="45"/>
      <c r="B21" s="45"/>
      <c r="C21" s="40" t="s">
        <v>105</v>
      </c>
      <c r="D21" s="41" t="s">
        <v>42</v>
      </c>
      <c r="E21" s="41" t="s">
        <v>88</v>
      </c>
      <c r="F21" s="42">
        <v>1.0</v>
      </c>
      <c r="G21" s="42">
        <v>0.0</v>
      </c>
      <c r="H21" s="42">
        <v>1.0</v>
      </c>
      <c r="I21" s="43"/>
      <c r="J21" s="42">
        <v>0.0</v>
      </c>
      <c r="K21" s="42">
        <v>1.0</v>
      </c>
      <c r="L21" s="43"/>
      <c r="M21" s="42">
        <v>0.0</v>
      </c>
      <c r="N21" s="42">
        <v>1.0</v>
      </c>
      <c r="O21" s="43"/>
      <c r="P21" s="42">
        <v>1.0</v>
      </c>
      <c r="Q21" s="42">
        <v>0.0</v>
      </c>
      <c r="R21" s="43"/>
      <c r="S21" s="42">
        <v>0.0</v>
      </c>
      <c r="T21" s="42">
        <v>0.0</v>
      </c>
      <c r="U21" s="43"/>
      <c r="V21" s="42">
        <v>0.0</v>
      </c>
      <c r="W21" s="42">
        <v>0.0</v>
      </c>
      <c r="X21" s="43"/>
      <c r="Y21" s="42">
        <v>0.0</v>
      </c>
      <c r="Z21" s="42">
        <v>0.0</v>
      </c>
      <c r="AA21" s="43"/>
      <c r="AB21" s="42">
        <v>0.0</v>
      </c>
      <c r="AC21" s="42">
        <v>0.0</v>
      </c>
      <c r="AD21" s="43"/>
      <c r="AE21" s="42">
        <v>0.0</v>
      </c>
      <c r="AF21" s="42">
        <v>0.0</v>
      </c>
      <c r="AG21" s="43"/>
      <c r="AH21" s="42">
        <v>0.0</v>
      </c>
      <c r="AI21" s="42">
        <v>0.0</v>
      </c>
      <c r="AJ21" s="43"/>
      <c r="AK21" s="42">
        <f t="shared" si="1"/>
        <v>1</v>
      </c>
      <c r="AL21" s="42">
        <f t="shared" si="2"/>
        <v>0</v>
      </c>
      <c r="AM21" s="44"/>
      <c r="AN21" s="44"/>
      <c r="AO21" s="44"/>
      <c r="AP21" s="44"/>
    </row>
    <row r="22" ht="42.0" customHeight="1">
      <c r="A22" s="45"/>
      <c r="B22" s="45"/>
      <c r="C22" s="40" t="s">
        <v>106</v>
      </c>
      <c r="D22" s="41" t="s">
        <v>42</v>
      </c>
      <c r="E22" s="41" t="s">
        <v>88</v>
      </c>
      <c r="F22" s="42">
        <v>1.0</v>
      </c>
      <c r="G22" s="42">
        <v>0.0</v>
      </c>
      <c r="H22" s="42">
        <v>1.0</v>
      </c>
      <c r="I22" s="43"/>
      <c r="J22" s="42">
        <v>0.0</v>
      </c>
      <c r="K22" s="42">
        <v>1.0</v>
      </c>
      <c r="L22" s="43"/>
      <c r="M22" s="42">
        <v>0.0</v>
      </c>
      <c r="N22" s="42">
        <v>1.0</v>
      </c>
      <c r="O22" s="43"/>
      <c r="P22" s="42">
        <v>1.0</v>
      </c>
      <c r="Q22" s="42">
        <v>0.0</v>
      </c>
      <c r="R22" s="43"/>
      <c r="S22" s="42">
        <v>0.0</v>
      </c>
      <c r="T22" s="42">
        <v>0.0</v>
      </c>
      <c r="U22" s="43"/>
      <c r="V22" s="42">
        <v>0.0</v>
      </c>
      <c r="W22" s="42">
        <v>0.0</v>
      </c>
      <c r="X22" s="43"/>
      <c r="Y22" s="42">
        <v>0.0</v>
      </c>
      <c r="Z22" s="42">
        <v>0.0</v>
      </c>
      <c r="AA22" s="43"/>
      <c r="AB22" s="42">
        <v>0.0</v>
      </c>
      <c r="AC22" s="42">
        <v>0.0</v>
      </c>
      <c r="AD22" s="43"/>
      <c r="AE22" s="42">
        <v>0.0</v>
      </c>
      <c r="AF22" s="42">
        <v>0.0</v>
      </c>
      <c r="AG22" s="43"/>
      <c r="AH22" s="42">
        <v>0.0</v>
      </c>
      <c r="AI22" s="42">
        <v>0.0</v>
      </c>
      <c r="AJ22" s="43"/>
      <c r="AK22" s="42">
        <f t="shared" si="1"/>
        <v>1</v>
      </c>
      <c r="AL22" s="42">
        <f t="shared" si="2"/>
        <v>0</v>
      </c>
      <c r="AM22" s="44"/>
      <c r="AN22" s="44"/>
      <c r="AO22" s="44"/>
      <c r="AP22" s="44"/>
    </row>
    <row r="23" ht="42.0" customHeight="1">
      <c r="A23" s="11"/>
      <c r="B23" s="11"/>
      <c r="C23" s="40" t="s">
        <v>107</v>
      </c>
      <c r="D23" s="41" t="s">
        <v>42</v>
      </c>
      <c r="E23" s="41" t="s">
        <v>88</v>
      </c>
      <c r="F23" s="42">
        <v>1.0</v>
      </c>
      <c r="G23" s="42">
        <v>0.0</v>
      </c>
      <c r="H23" s="42">
        <v>1.0</v>
      </c>
      <c r="I23" s="43"/>
      <c r="J23" s="42">
        <v>1.0</v>
      </c>
      <c r="K23" s="42">
        <v>1.0</v>
      </c>
      <c r="L23" s="43"/>
      <c r="M23" s="42">
        <v>0.0</v>
      </c>
      <c r="N23" s="42">
        <v>0.0</v>
      </c>
      <c r="O23" s="43"/>
      <c r="P23" s="42">
        <v>0.0</v>
      </c>
      <c r="Q23" s="42">
        <v>0.0</v>
      </c>
      <c r="R23" s="43"/>
      <c r="S23" s="42">
        <v>0.0</v>
      </c>
      <c r="T23" s="42">
        <v>0.0</v>
      </c>
      <c r="U23" s="43"/>
      <c r="V23" s="42">
        <v>0.0</v>
      </c>
      <c r="W23" s="42">
        <v>0.0</v>
      </c>
      <c r="X23" s="43"/>
      <c r="Y23" s="42">
        <v>0.0</v>
      </c>
      <c r="Z23" s="42">
        <v>0.0</v>
      </c>
      <c r="AA23" s="43"/>
      <c r="AB23" s="42">
        <v>0.0</v>
      </c>
      <c r="AC23" s="42">
        <v>0.0</v>
      </c>
      <c r="AD23" s="43"/>
      <c r="AE23" s="42">
        <v>0.0</v>
      </c>
      <c r="AF23" s="42">
        <v>0.0</v>
      </c>
      <c r="AG23" s="43"/>
      <c r="AH23" s="42">
        <v>0.0</v>
      </c>
      <c r="AI23" s="42">
        <v>0.0</v>
      </c>
      <c r="AJ23" s="43"/>
      <c r="AK23" s="42">
        <f t="shared" si="1"/>
        <v>1</v>
      </c>
      <c r="AL23" s="42">
        <f t="shared" si="2"/>
        <v>0</v>
      </c>
      <c r="AM23" s="44"/>
      <c r="AN23" s="44"/>
      <c r="AO23" s="44"/>
      <c r="AP23" s="44"/>
    </row>
    <row r="24" ht="42.0" customHeight="1">
      <c r="A24" s="47" t="s">
        <v>46</v>
      </c>
      <c r="B24" s="48" t="s">
        <v>108</v>
      </c>
      <c r="C24" s="49" t="s">
        <v>109</v>
      </c>
      <c r="D24" s="50" t="s">
        <v>45</v>
      </c>
      <c r="E24" s="50" t="s">
        <v>88</v>
      </c>
      <c r="F24" s="51">
        <v>2.0</v>
      </c>
      <c r="G24" s="51">
        <v>0.0</v>
      </c>
      <c r="H24" s="51">
        <v>2.0</v>
      </c>
      <c r="I24" s="43"/>
      <c r="J24" s="51">
        <v>0.0</v>
      </c>
      <c r="K24" s="51">
        <v>2.0</v>
      </c>
      <c r="L24" s="43"/>
      <c r="M24" s="51">
        <v>1.0</v>
      </c>
      <c r="N24" s="51">
        <v>2.0</v>
      </c>
      <c r="O24" s="43"/>
      <c r="P24" s="51">
        <v>1.0</v>
      </c>
      <c r="Q24" s="51">
        <v>1.0</v>
      </c>
      <c r="R24" s="43"/>
      <c r="S24" s="51">
        <v>1.0</v>
      </c>
      <c r="T24" s="51">
        <v>0.0</v>
      </c>
      <c r="U24" s="43"/>
      <c r="V24" s="51">
        <v>0.0</v>
      </c>
      <c r="W24" s="51">
        <v>0.0</v>
      </c>
      <c r="X24" s="43"/>
      <c r="Y24" s="51">
        <v>0.0</v>
      </c>
      <c r="Z24" s="51">
        <v>0.0</v>
      </c>
      <c r="AA24" s="43"/>
      <c r="AB24" s="51">
        <v>0.0</v>
      </c>
      <c r="AC24" s="51">
        <v>0.0</v>
      </c>
      <c r="AD24" s="43"/>
      <c r="AE24" s="51">
        <v>0.0</v>
      </c>
      <c r="AF24" s="51">
        <v>0.0</v>
      </c>
      <c r="AG24" s="43"/>
      <c r="AH24" s="51">
        <v>0.0</v>
      </c>
      <c r="AI24" s="51">
        <v>0.0</v>
      </c>
      <c r="AJ24" s="43"/>
      <c r="AK24" s="51">
        <f t="shared" si="1"/>
        <v>3</v>
      </c>
      <c r="AL24" s="51">
        <f t="shared" si="2"/>
        <v>-1</v>
      </c>
      <c r="AM24" s="44"/>
      <c r="AN24" s="44"/>
      <c r="AO24" s="44"/>
      <c r="AP24" s="44"/>
    </row>
    <row r="25" ht="42.0" customHeight="1">
      <c r="A25" s="45"/>
      <c r="B25" s="45"/>
      <c r="C25" s="49" t="s">
        <v>110</v>
      </c>
      <c r="D25" s="50" t="s">
        <v>45</v>
      </c>
      <c r="E25" s="50" t="s">
        <v>88</v>
      </c>
      <c r="F25" s="51">
        <v>1.0</v>
      </c>
      <c r="G25" s="51">
        <v>0.0</v>
      </c>
      <c r="H25" s="51">
        <v>1.0</v>
      </c>
      <c r="I25" s="43"/>
      <c r="J25" s="51">
        <v>0.0</v>
      </c>
      <c r="K25" s="51">
        <v>1.0</v>
      </c>
      <c r="L25" s="43"/>
      <c r="M25" s="51">
        <v>1.0</v>
      </c>
      <c r="N25" s="51">
        <v>1.0</v>
      </c>
      <c r="O25" s="43"/>
      <c r="P25" s="51">
        <v>0.0</v>
      </c>
      <c r="Q25" s="51">
        <v>0.0</v>
      </c>
      <c r="R25" s="43"/>
      <c r="S25" s="51">
        <v>0.0</v>
      </c>
      <c r="T25" s="51">
        <v>0.0</v>
      </c>
      <c r="U25" s="43"/>
      <c r="V25" s="51">
        <v>0.0</v>
      </c>
      <c r="W25" s="51">
        <v>0.0</v>
      </c>
      <c r="X25" s="43"/>
      <c r="Y25" s="51">
        <v>0.0</v>
      </c>
      <c r="Z25" s="51">
        <v>0.0</v>
      </c>
      <c r="AA25" s="43"/>
      <c r="AB25" s="51">
        <v>0.0</v>
      </c>
      <c r="AC25" s="51">
        <v>0.0</v>
      </c>
      <c r="AD25" s="43"/>
      <c r="AE25" s="51">
        <v>0.0</v>
      </c>
      <c r="AF25" s="51">
        <v>0.0</v>
      </c>
      <c r="AG25" s="43"/>
      <c r="AH25" s="51">
        <v>0.0</v>
      </c>
      <c r="AI25" s="51">
        <v>0.0</v>
      </c>
      <c r="AJ25" s="43"/>
      <c r="AK25" s="51">
        <f t="shared" si="1"/>
        <v>1</v>
      </c>
      <c r="AL25" s="51">
        <f t="shared" si="2"/>
        <v>0</v>
      </c>
      <c r="AM25" s="44"/>
      <c r="AN25" s="44"/>
      <c r="AO25" s="44"/>
      <c r="AP25" s="44"/>
    </row>
    <row r="26" ht="42.0" customHeight="1">
      <c r="A26" s="45"/>
      <c r="B26" s="45"/>
      <c r="C26" s="49" t="s">
        <v>111</v>
      </c>
      <c r="D26" s="50" t="s">
        <v>45</v>
      </c>
      <c r="E26" s="50" t="s">
        <v>88</v>
      </c>
      <c r="F26" s="51">
        <v>2.0</v>
      </c>
      <c r="G26" s="51">
        <v>0.0</v>
      </c>
      <c r="H26" s="51">
        <v>2.0</v>
      </c>
      <c r="I26" s="43"/>
      <c r="J26" s="51">
        <v>0.0</v>
      </c>
      <c r="K26" s="51">
        <v>2.0</v>
      </c>
      <c r="L26" s="43"/>
      <c r="M26" s="51">
        <v>0.0</v>
      </c>
      <c r="N26" s="51">
        <v>2.0</v>
      </c>
      <c r="O26" s="43"/>
      <c r="P26" s="51">
        <v>0.0</v>
      </c>
      <c r="Q26" s="51">
        <v>2.0</v>
      </c>
      <c r="R26" s="43"/>
      <c r="S26" s="51">
        <v>1.0</v>
      </c>
      <c r="T26" s="51">
        <v>1.0</v>
      </c>
      <c r="U26" s="43"/>
      <c r="V26" s="51">
        <v>0.0</v>
      </c>
      <c r="W26" s="51">
        <v>1.0</v>
      </c>
      <c r="X26" s="43"/>
      <c r="Y26" s="51">
        <v>0.0</v>
      </c>
      <c r="Z26" s="51">
        <v>1.0</v>
      </c>
      <c r="AA26" s="43"/>
      <c r="AB26" s="51">
        <v>0.0</v>
      </c>
      <c r="AC26" s="51">
        <v>1.0</v>
      </c>
      <c r="AD26" s="43"/>
      <c r="AE26" s="51">
        <v>0.0</v>
      </c>
      <c r="AF26" s="51">
        <v>1.0</v>
      </c>
      <c r="AG26" s="43"/>
      <c r="AH26" s="51">
        <v>0.0</v>
      </c>
      <c r="AI26" s="51">
        <v>1.0</v>
      </c>
      <c r="AJ26" s="43"/>
      <c r="AK26" s="51">
        <f t="shared" si="1"/>
        <v>1</v>
      </c>
      <c r="AL26" s="51">
        <f t="shared" si="2"/>
        <v>1</v>
      </c>
      <c r="AM26" s="44"/>
      <c r="AN26" s="44"/>
      <c r="AO26" s="44"/>
      <c r="AP26" s="44"/>
    </row>
    <row r="27" ht="42.0" customHeight="1">
      <c r="A27" s="45"/>
      <c r="B27" s="45"/>
      <c r="C27" s="49" t="s">
        <v>112</v>
      </c>
      <c r="D27" s="50" t="s">
        <v>45</v>
      </c>
      <c r="E27" s="50" t="s">
        <v>88</v>
      </c>
      <c r="F27" s="51">
        <v>2.0</v>
      </c>
      <c r="G27" s="51">
        <v>0.0</v>
      </c>
      <c r="H27" s="51">
        <v>2.0</v>
      </c>
      <c r="I27" s="43"/>
      <c r="J27" s="51">
        <v>0.0</v>
      </c>
      <c r="K27" s="51">
        <v>2.0</v>
      </c>
      <c r="L27" s="43"/>
      <c r="M27" s="51">
        <v>0.0</v>
      </c>
      <c r="N27" s="51">
        <v>2.0</v>
      </c>
      <c r="O27" s="43"/>
      <c r="P27" s="51">
        <v>1.0</v>
      </c>
      <c r="Q27" s="51">
        <v>1.0</v>
      </c>
      <c r="R27" s="43"/>
      <c r="S27" s="51">
        <v>1.0</v>
      </c>
      <c r="T27" s="51">
        <v>0.0</v>
      </c>
      <c r="U27" s="43"/>
      <c r="V27" s="51">
        <v>0.0</v>
      </c>
      <c r="W27" s="51">
        <v>0.0</v>
      </c>
      <c r="X27" s="43"/>
      <c r="Y27" s="51">
        <v>0.0</v>
      </c>
      <c r="Z27" s="51">
        <v>0.0</v>
      </c>
      <c r="AA27" s="43"/>
      <c r="AB27" s="51">
        <v>0.0</v>
      </c>
      <c r="AC27" s="51">
        <v>0.0</v>
      </c>
      <c r="AD27" s="43"/>
      <c r="AE27" s="51">
        <v>0.0</v>
      </c>
      <c r="AF27" s="51">
        <v>0.0</v>
      </c>
      <c r="AG27" s="43"/>
      <c r="AH27" s="51">
        <v>0.0</v>
      </c>
      <c r="AI27" s="51">
        <v>0.0</v>
      </c>
      <c r="AJ27" s="43"/>
      <c r="AK27" s="51">
        <f t="shared" si="1"/>
        <v>2</v>
      </c>
      <c r="AL27" s="51">
        <f t="shared" si="2"/>
        <v>0</v>
      </c>
      <c r="AM27" s="44"/>
      <c r="AN27" s="44"/>
      <c r="AO27" s="44"/>
      <c r="AP27" s="44"/>
    </row>
    <row r="28" ht="42.0" customHeight="1">
      <c r="A28" s="45"/>
      <c r="B28" s="45"/>
      <c r="C28" s="49" t="s">
        <v>113</v>
      </c>
      <c r="D28" s="50" t="s">
        <v>45</v>
      </c>
      <c r="E28" s="50" t="s">
        <v>88</v>
      </c>
      <c r="F28" s="51">
        <v>1.0</v>
      </c>
      <c r="G28" s="51">
        <v>0.0</v>
      </c>
      <c r="H28" s="51">
        <v>1.0</v>
      </c>
      <c r="I28" s="43"/>
      <c r="J28" s="51">
        <v>0.0</v>
      </c>
      <c r="K28" s="51">
        <v>1.0</v>
      </c>
      <c r="L28" s="43"/>
      <c r="M28" s="51">
        <v>0.0</v>
      </c>
      <c r="N28" s="51">
        <v>1.0</v>
      </c>
      <c r="O28" s="43"/>
      <c r="P28" s="51">
        <v>0.0</v>
      </c>
      <c r="Q28" s="51">
        <v>1.0</v>
      </c>
      <c r="R28" s="43"/>
      <c r="S28" s="51">
        <v>0.0</v>
      </c>
      <c r="T28" s="51">
        <v>0.0</v>
      </c>
      <c r="U28" s="43"/>
      <c r="V28" s="51">
        <v>0.0</v>
      </c>
      <c r="W28" s="51">
        <v>0.0</v>
      </c>
      <c r="X28" s="43"/>
      <c r="Y28" s="51">
        <v>0.0</v>
      </c>
      <c r="Z28" s="51">
        <v>0.0</v>
      </c>
      <c r="AA28" s="43"/>
      <c r="AB28" s="51">
        <v>0.0</v>
      </c>
      <c r="AC28" s="51">
        <v>0.0</v>
      </c>
      <c r="AD28" s="43"/>
      <c r="AE28" s="51">
        <v>0.0</v>
      </c>
      <c r="AF28" s="51">
        <v>0.0</v>
      </c>
      <c r="AG28" s="43"/>
      <c r="AH28" s="51">
        <v>0.0</v>
      </c>
      <c r="AI28" s="51">
        <v>0.0</v>
      </c>
      <c r="AJ28" s="43"/>
      <c r="AK28" s="51">
        <f t="shared" si="1"/>
        <v>0</v>
      </c>
      <c r="AL28" s="51">
        <f t="shared" si="2"/>
        <v>1</v>
      </c>
      <c r="AM28" s="44"/>
      <c r="AN28" s="44"/>
      <c r="AO28" s="44"/>
      <c r="AP28" s="44"/>
    </row>
    <row r="29" ht="42.0" customHeight="1">
      <c r="A29" s="11"/>
      <c r="B29" s="11"/>
      <c r="C29" s="49" t="s">
        <v>114</v>
      </c>
      <c r="D29" s="50" t="s">
        <v>45</v>
      </c>
      <c r="E29" s="50" t="s">
        <v>88</v>
      </c>
      <c r="F29" s="51">
        <v>1.0</v>
      </c>
      <c r="G29" s="53">
        <v>0.0</v>
      </c>
      <c r="H29" s="51">
        <v>1.0</v>
      </c>
      <c r="I29" s="54"/>
      <c r="J29" s="51">
        <v>0.0</v>
      </c>
      <c r="K29" s="51">
        <v>1.0</v>
      </c>
      <c r="L29" s="54"/>
      <c r="M29" s="51">
        <v>1.0</v>
      </c>
      <c r="N29" s="51">
        <v>1.0</v>
      </c>
      <c r="O29" s="54"/>
      <c r="P29" s="51">
        <v>0.0</v>
      </c>
      <c r="Q29" s="51">
        <v>1.0</v>
      </c>
      <c r="R29" s="43"/>
      <c r="S29" s="51">
        <v>0.0</v>
      </c>
      <c r="T29" s="51">
        <v>0.0</v>
      </c>
      <c r="U29" s="54"/>
      <c r="V29" s="51">
        <v>0.0</v>
      </c>
      <c r="W29" s="51">
        <v>0.0</v>
      </c>
      <c r="X29" s="54"/>
      <c r="Y29" s="51">
        <v>0.0</v>
      </c>
      <c r="Z29" s="51">
        <v>0.0</v>
      </c>
      <c r="AA29" s="54"/>
      <c r="AB29" s="51">
        <v>0.0</v>
      </c>
      <c r="AC29" s="51">
        <v>0.0</v>
      </c>
      <c r="AD29" s="54"/>
      <c r="AE29" s="51">
        <v>0.0</v>
      </c>
      <c r="AF29" s="51">
        <v>0.0</v>
      </c>
      <c r="AG29" s="54"/>
      <c r="AH29" s="51">
        <v>0.0</v>
      </c>
      <c r="AI29" s="51">
        <v>0.0</v>
      </c>
      <c r="AJ29" s="55"/>
      <c r="AK29" s="51">
        <f t="shared" si="1"/>
        <v>1</v>
      </c>
      <c r="AL29" s="51">
        <f t="shared" si="2"/>
        <v>0</v>
      </c>
      <c r="AM29" s="44"/>
      <c r="AN29" s="44"/>
      <c r="AO29" s="44"/>
      <c r="AP29" s="44"/>
    </row>
    <row r="30" ht="42.0" customHeight="1">
      <c r="A30" s="52" t="s">
        <v>48</v>
      </c>
      <c r="B30" s="39" t="s">
        <v>115</v>
      </c>
      <c r="C30" s="40" t="s">
        <v>116</v>
      </c>
      <c r="D30" s="41" t="s">
        <v>45</v>
      </c>
      <c r="E30" s="56" t="s">
        <v>88</v>
      </c>
      <c r="F30" s="42">
        <v>1.0</v>
      </c>
      <c r="G30" s="57">
        <v>0.0</v>
      </c>
      <c r="H30" s="42">
        <v>1.0</v>
      </c>
      <c r="I30" s="43"/>
      <c r="J30" s="42">
        <v>0.0</v>
      </c>
      <c r="K30" s="42">
        <v>1.0</v>
      </c>
      <c r="L30" s="43"/>
      <c r="M30" s="42">
        <v>1.0</v>
      </c>
      <c r="N30" s="42">
        <v>1.0</v>
      </c>
      <c r="O30" s="43"/>
      <c r="P30" s="42">
        <v>0.0</v>
      </c>
      <c r="Q30" s="42">
        <v>1.0</v>
      </c>
      <c r="R30" s="43"/>
      <c r="S30" s="42">
        <v>0.0</v>
      </c>
      <c r="T30" s="42">
        <v>0.0</v>
      </c>
      <c r="U30" s="43"/>
      <c r="V30" s="42">
        <v>0.0</v>
      </c>
      <c r="W30" s="42">
        <v>0.0</v>
      </c>
      <c r="X30" s="43"/>
      <c r="Y30" s="42">
        <v>0.0</v>
      </c>
      <c r="Z30" s="42">
        <v>0.0</v>
      </c>
      <c r="AA30" s="43"/>
      <c r="AB30" s="42">
        <v>0.0</v>
      </c>
      <c r="AC30" s="42">
        <v>0.0</v>
      </c>
      <c r="AD30" s="43"/>
      <c r="AE30" s="42">
        <v>0.0</v>
      </c>
      <c r="AF30" s="42">
        <v>0.0</v>
      </c>
      <c r="AG30" s="43"/>
      <c r="AH30" s="42">
        <v>0.0</v>
      </c>
      <c r="AI30" s="42">
        <v>0.0</v>
      </c>
      <c r="AJ30" s="43"/>
      <c r="AK30" s="42">
        <f t="shared" si="1"/>
        <v>1</v>
      </c>
      <c r="AL30" s="42">
        <f t="shared" si="2"/>
        <v>0</v>
      </c>
      <c r="AM30" s="44"/>
      <c r="AN30" s="44"/>
      <c r="AO30" s="44"/>
      <c r="AP30" s="44"/>
    </row>
    <row r="31" ht="42.0" customHeight="1">
      <c r="A31" s="45"/>
      <c r="B31" s="45"/>
      <c r="C31" s="40" t="s">
        <v>117</v>
      </c>
      <c r="D31" s="41" t="s">
        <v>45</v>
      </c>
      <c r="E31" s="56" t="s">
        <v>88</v>
      </c>
      <c r="F31" s="42">
        <v>1.0</v>
      </c>
      <c r="G31" s="57">
        <v>0.0</v>
      </c>
      <c r="H31" s="42">
        <v>1.0</v>
      </c>
      <c r="I31" s="43"/>
      <c r="J31" s="42">
        <v>0.0</v>
      </c>
      <c r="K31" s="42">
        <v>1.0</v>
      </c>
      <c r="L31" s="43"/>
      <c r="M31" s="42">
        <v>0.0</v>
      </c>
      <c r="N31" s="42">
        <v>1.0</v>
      </c>
      <c r="O31" s="43"/>
      <c r="P31" s="42">
        <v>0.0</v>
      </c>
      <c r="Q31" s="42">
        <v>1.0</v>
      </c>
      <c r="R31" s="43"/>
      <c r="S31" s="42">
        <v>1.0</v>
      </c>
      <c r="T31" s="42">
        <v>0.0</v>
      </c>
      <c r="U31" s="43"/>
      <c r="V31" s="42">
        <v>0.0</v>
      </c>
      <c r="W31" s="42">
        <v>0.0</v>
      </c>
      <c r="X31" s="43"/>
      <c r="Y31" s="42">
        <v>0.0</v>
      </c>
      <c r="Z31" s="42">
        <v>0.0</v>
      </c>
      <c r="AA31" s="43"/>
      <c r="AB31" s="42">
        <v>0.0</v>
      </c>
      <c r="AC31" s="42">
        <v>0.0</v>
      </c>
      <c r="AD31" s="43"/>
      <c r="AE31" s="42">
        <v>0.0</v>
      </c>
      <c r="AF31" s="42">
        <v>0.0</v>
      </c>
      <c r="AG31" s="43"/>
      <c r="AH31" s="42">
        <v>0.0</v>
      </c>
      <c r="AI31" s="42">
        <v>0.0</v>
      </c>
      <c r="AJ31" s="43"/>
      <c r="AK31" s="42">
        <f t="shared" si="1"/>
        <v>1</v>
      </c>
      <c r="AL31" s="42">
        <f t="shared" si="2"/>
        <v>0</v>
      </c>
      <c r="AM31" s="44"/>
      <c r="AN31" s="44"/>
      <c r="AO31" s="44"/>
      <c r="AP31" s="44"/>
    </row>
    <row r="32" ht="42.0" customHeight="1">
      <c r="A32" s="45"/>
      <c r="B32" s="45"/>
      <c r="C32" s="40" t="s">
        <v>118</v>
      </c>
      <c r="D32" s="41" t="s">
        <v>45</v>
      </c>
      <c r="E32" s="56" t="s">
        <v>88</v>
      </c>
      <c r="F32" s="42">
        <v>1.0</v>
      </c>
      <c r="G32" s="57">
        <v>0.0</v>
      </c>
      <c r="H32" s="42">
        <v>1.0</v>
      </c>
      <c r="I32" s="43"/>
      <c r="J32" s="42">
        <v>0.0</v>
      </c>
      <c r="K32" s="42">
        <v>1.0</v>
      </c>
      <c r="L32" s="43"/>
      <c r="M32" s="42">
        <v>1.0</v>
      </c>
      <c r="N32" s="42">
        <v>1.0</v>
      </c>
      <c r="O32" s="43"/>
      <c r="P32" s="42">
        <v>0.0</v>
      </c>
      <c r="Q32" s="42">
        <v>1.0</v>
      </c>
      <c r="R32" s="43"/>
      <c r="S32" s="42">
        <v>0.0</v>
      </c>
      <c r="T32" s="42">
        <v>0.0</v>
      </c>
      <c r="U32" s="43"/>
      <c r="V32" s="42">
        <v>0.0</v>
      </c>
      <c r="W32" s="42">
        <v>0.0</v>
      </c>
      <c r="X32" s="43"/>
      <c r="Y32" s="42">
        <v>0.0</v>
      </c>
      <c r="Z32" s="42">
        <v>0.0</v>
      </c>
      <c r="AA32" s="43"/>
      <c r="AB32" s="42">
        <v>0.0</v>
      </c>
      <c r="AC32" s="42">
        <v>0.0</v>
      </c>
      <c r="AD32" s="43"/>
      <c r="AE32" s="42">
        <v>0.0</v>
      </c>
      <c r="AF32" s="42">
        <v>0.0</v>
      </c>
      <c r="AG32" s="43"/>
      <c r="AH32" s="42">
        <v>0.0</v>
      </c>
      <c r="AI32" s="42">
        <v>0.0</v>
      </c>
      <c r="AJ32" s="43"/>
      <c r="AK32" s="42">
        <f t="shared" si="1"/>
        <v>1</v>
      </c>
      <c r="AL32" s="42">
        <f t="shared" si="2"/>
        <v>0</v>
      </c>
      <c r="AM32" s="44"/>
      <c r="AN32" s="44"/>
      <c r="AO32" s="44"/>
      <c r="AP32" s="44"/>
    </row>
    <row r="33" ht="42.0" customHeight="1">
      <c r="A33" s="45"/>
      <c r="B33" s="45"/>
      <c r="C33" s="40" t="s">
        <v>119</v>
      </c>
      <c r="D33" s="41" t="s">
        <v>45</v>
      </c>
      <c r="E33" s="56" t="s">
        <v>88</v>
      </c>
      <c r="F33" s="42">
        <v>2.0</v>
      </c>
      <c r="G33" s="57">
        <v>0.0</v>
      </c>
      <c r="H33" s="42">
        <v>2.0</v>
      </c>
      <c r="I33" s="43"/>
      <c r="J33" s="42">
        <v>0.0</v>
      </c>
      <c r="K33" s="42">
        <v>2.0</v>
      </c>
      <c r="L33" s="43"/>
      <c r="M33" s="42">
        <v>0.0</v>
      </c>
      <c r="N33" s="42">
        <v>2.0</v>
      </c>
      <c r="O33" s="43"/>
      <c r="P33" s="42">
        <v>0.0</v>
      </c>
      <c r="Q33" s="42">
        <v>2.0</v>
      </c>
      <c r="R33" s="43"/>
      <c r="S33" s="42">
        <v>1.0</v>
      </c>
      <c r="T33" s="42">
        <v>1.0</v>
      </c>
      <c r="U33" s="43"/>
      <c r="V33" s="42">
        <v>0.0</v>
      </c>
      <c r="W33" s="42">
        <v>1.0</v>
      </c>
      <c r="X33" s="43"/>
      <c r="Y33" s="42">
        <v>0.0</v>
      </c>
      <c r="Z33" s="42">
        <v>1.0</v>
      </c>
      <c r="AA33" s="43"/>
      <c r="AB33" s="42">
        <v>0.0</v>
      </c>
      <c r="AC33" s="42">
        <v>1.0</v>
      </c>
      <c r="AD33" s="43"/>
      <c r="AE33" s="42">
        <v>0.0</v>
      </c>
      <c r="AF33" s="42">
        <v>1.0</v>
      </c>
      <c r="AG33" s="43"/>
      <c r="AH33" s="42">
        <v>0.0</v>
      </c>
      <c r="AI33" s="42">
        <v>1.0</v>
      </c>
      <c r="AJ33" s="43"/>
      <c r="AK33" s="42">
        <f t="shared" si="1"/>
        <v>1</v>
      </c>
      <c r="AL33" s="42">
        <f t="shared" si="2"/>
        <v>1</v>
      </c>
      <c r="AM33" s="44"/>
      <c r="AN33" s="44"/>
      <c r="AO33" s="44"/>
      <c r="AP33" s="44"/>
    </row>
    <row r="34" ht="42.0" customHeight="1">
      <c r="A34" s="45"/>
      <c r="B34" s="45"/>
      <c r="C34" s="40" t="s">
        <v>120</v>
      </c>
      <c r="D34" s="41" t="s">
        <v>45</v>
      </c>
      <c r="E34" s="56" t="s">
        <v>88</v>
      </c>
      <c r="F34" s="42">
        <v>1.0</v>
      </c>
      <c r="G34" s="57">
        <v>0.0</v>
      </c>
      <c r="H34" s="42">
        <v>1.0</v>
      </c>
      <c r="I34" s="43"/>
      <c r="J34" s="42">
        <v>0.0</v>
      </c>
      <c r="K34" s="42">
        <v>1.0</v>
      </c>
      <c r="L34" s="43"/>
      <c r="M34" s="42">
        <v>0.0</v>
      </c>
      <c r="N34" s="42">
        <v>1.0</v>
      </c>
      <c r="O34" s="43"/>
      <c r="P34" s="42">
        <v>0.0</v>
      </c>
      <c r="Q34" s="42">
        <v>1.0</v>
      </c>
      <c r="R34" s="43"/>
      <c r="S34" s="42">
        <v>1.0</v>
      </c>
      <c r="T34" s="42">
        <v>0.0</v>
      </c>
      <c r="U34" s="43"/>
      <c r="V34" s="42">
        <v>0.0</v>
      </c>
      <c r="W34" s="42">
        <v>0.0</v>
      </c>
      <c r="X34" s="43"/>
      <c r="Y34" s="42">
        <v>0.0</v>
      </c>
      <c r="Z34" s="42">
        <v>0.0</v>
      </c>
      <c r="AA34" s="43"/>
      <c r="AB34" s="42">
        <v>0.0</v>
      </c>
      <c r="AC34" s="42">
        <v>0.0</v>
      </c>
      <c r="AD34" s="43"/>
      <c r="AE34" s="42">
        <v>0.0</v>
      </c>
      <c r="AF34" s="42">
        <v>0.0</v>
      </c>
      <c r="AG34" s="43"/>
      <c r="AH34" s="42">
        <v>0.0</v>
      </c>
      <c r="AI34" s="42">
        <v>0.0</v>
      </c>
      <c r="AJ34" s="43"/>
      <c r="AK34" s="42">
        <f t="shared" si="1"/>
        <v>1</v>
      </c>
      <c r="AL34" s="42">
        <f t="shared" si="2"/>
        <v>0</v>
      </c>
      <c r="AM34" s="44"/>
      <c r="AN34" s="44"/>
      <c r="AO34" s="44"/>
      <c r="AP34" s="44"/>
    </row>
    <row r="35" ht="42.0" customHeight="1">
      <c r="A35" s="11"/>
      <c r="B35" s="11"/>
      <c r="C35" s="40" t="s">
        <v>121</v>
      </c>
      <c r="D35" s="41" t="s">
        <v>45</v>
      </c>
      <c r="E35" s="56" t="s">
        <v>88</v>
      </c>
      <c r="F35" s="42">
        <v>1.0</v>
      </c>
      <c r="G35" s="42">
        <v>0.0</v>
      </c>
      <c r="H35" s="42">
        <v>1.0</v>
      </c>
      <c r="I35" s="43"/>
      <c r="J35" s="42">
        <v>0.0</v>
      </c>
      <c r="K35" s="42">
        <v>1.0</v>
      </c>
      <c r="L35" s="43"/>
      <c r="M35" s="42">
        <v>1.0</v>
      </c>
      <c r="N35" s="42">
        <v>1.0</v>
      </c>
      <c r="O35" s="43"/>
      <c r="P35" s="42">
        <v>0.0</v>
      </c>
      <c r="Q35" s="42">
        <v>1.0</v>
      </c>
      <c r="R35" s="43"/>
      <c r="S35" s="42">
        <v>0.0</v>
      </c>
      <c r="T35" s="42">
        <v>0.0</v>
      </c>
      <c r="U35" s="43"/>
      <c r="V35" s="42">
        <v>0.0</v>
      </c>
      <c r="W35" s="42">
        <v>0.0</v>
      </c>
      <c r="X35" s="43"/>
      <c r="Y35" s="42">
        <v>0.0</v>
      </c>
      <c r="Z35" s="42">
        <v>0.0</v>
      </c>
      <c r="AA35" s="43"/>
      <c r="AB35" s="42">
        <v>0.0</v>
      </c>
      <c r="AC35" s="42">
        <v>0.0</v>
      </c>
      <c r="AD35" s="43"/>
      <c r="AE35" s="42">
        <v>0.0</v>
      </c>
      <c r="AF35" s="42">
        <v>0.0</v>
      </c>
      <c r="AG35" s="43"/>
      <c r="AH35" s="42">
        <v>0.0</v>
      </c>
      <c r="AI35" s="42">
        <v>0.0</v>
      </c>
      <c r="AJ35" s="43"/>
      <c r="AK35" s="42">
        <f t="shared" si="1"/>
        <v>1</v>
      </c>
      <c r="AL35" s="42">
        <f t="shared" si="2"/>
        <v>0</v>
      </c>
      <c r="AM35" s="44"/>
      <c r="AN35" s="44"/>
      <c r="AO35" s="44"/>
      <c r="AP35" s="44"/>
    </row>
    <row r="36" ht="42.0" customHeight="1">
      <c r="A36" s="47" t="s">
        <v>50</v>
      </c>
      <c r="B36" s="48" t="s">
        <v>122</v>
      </c>
      <c r="C36" s="49" t="s">
        <v>123</v>
      </c>
      <c r="D36" s="50" t="s">
        <v>42</v>
      </c>
      <c r="E36" s="58" t="s">
        <v>88</v>
      </c>
      <c r="F36" s="51">
        <v>2.0</v>
      </c>
      <c r="G36" s="51">
        <v>0.0</v>
      </c>
      <c r="H36" s="51">
        <v>2.0</v>
      </c>
      <c r="I36" s="43"/>
      <c r="J36" s="51">
        <v>0.0</v>
      </c>
      <c r="K36" s="51">
        <v>2.0</v>
      </c>
      <c r="L36" s="43"/>
      <c r="M36" s="51">
        <v>0.0</v>
      </c>
      <c r="N36" s="51">
        <v>2.0</v>
      </c>
      <c r="O36" s="43"/>
      <c r="P36" s="51">
        <v>0.0</v>
      </c>
      <c r="Q36" s="51">
        <v>2.0</v>
      </c>
      <c r="R36" s="43"/>
      <c r="S36" s="51">
        <v>1.0</v>
      </c>
      <c r="T36" s="51">
        <v>1.0</v>
      </c>
      <c r="U36" s="43"/>
      <c r="V36" s="51">
        <v>1.0</v>
      </c>
      <c r="W36" s="51">
        <v>0.0</v>
      </c>
      <c r="X36" s="43"/>
      <c r="Y36" s="51">
        <v>0.0</v>
      </c>
      <c r="Z36" s="51">
        <v>0.0</v>
      </c>
      <c r="AA36" s="43"/>
      <c r="AB36" s="51">
        <v>0.0</v>
      </c>
      <c r="AC36" s="51">
        <v>0.0</v>
      </c>
      <c r="AD36" s="43"/>
      <c r="AE36" s="51">
        <v>0.0</v>
      </c>
      <c r="AF36" s="51">
        <v>0.0</v>
      </c>
      <c r="AG36" s="43"/>
      <c r="AH36" s="51">
        <v>0.0</v>
      </c>
      <c r="AI36" s="51">
        <v>0.0</v>
      </c>
      <c r="AJ36" s="43"/>
      <c r="AK36" s="51">
        <f t="shared" si="1"/>
        <v>2</v>
      </c>
      <c r="AL36" s="51">
        <f t="shared" si="2"/>
        <v>0</v>
      </c>
      <c r="AM36" s="44"/>
      <c r="AN36" s="44"/>
      <c r="AO36" s="44"/>
      <c r="AP36" s="44"/>
    </row>
    <row r="37" ht="42.0" customHeight="1">
      <c r="A37" s="45"/>
      <c r="B37" s="45"/>
      <c r="C37" s="49" t="s">
        <v>124</v>
      </c>
      <c r="D37" s="50" t="s">
        <v>42</v>
      </c>
      <c r="E37" s="58" t="s">
        <v>88</v>
      </c>
      <c r="F37" s="51">
        <v>1.0</v>
      </c>
      <c r="G37" s="51">
        <v>0.0</v>
      </c>
      <c r="H37" s="51">
        <v>1.0</v>
      </c>
      <c r="I37" s="43"/>
      <c r="J37" s="51">
        <v>0.0</v>
      </c>
      <c r="K37" s="51">
        <v>1.0</v>
      </c>
      <c r="L37" s="43"/>
      <c r="M37" s="51">
        <v>0.0</v>
      </c>
      <c r="N37" s="51">
        <v>1.0</v>
      </c>
      <c r="O37" s="43"/>
      <c r="P37" s="51">
        <v>0.0</v>
      </c>
      <c r="Q37" s="51">
        <v>1.0</v>
      </c>
      <c r="R37" s="43"/>
      <c r="S37" s="51">
        <v>1.0</v>
      </c>
      <c r="T37" s="51">
        <v>1.0</v>
      </c>
      <c r="U37" s="43"/>
      <c r="V37" s="51">
        <v>1.0</v>
      </c>
      <c r="W37" s="51">
        <v>0.0</v>
      </c>
      <c r="X37" s="43"/>
      <c r="Y37" s="51">
        <v>0.0</v>
      </c>
      <c r="Z37" s="51">
        <v>0.0</v>
      </c>
      <c r="AA37" s="43"/>
      <c r="AB37" s="51">
        <v>0.0</v>
      </c>
      <c r="AC37" s="51">
        <v>0.0</v>
      </c>
      <c r="AD37" s="43"/>
      <c r="AE37" s="51">
        <v>0.0</v>
      </c>
      <c r="AF37" s="51">
        <v>0.0</v>
      </c>
      <c r="AG37" s="43"/>
      <c r="AH37" s="51">
        <v>0.0</v>
      </c>
      <c r="AI37" s="51">
        <v>0.0</v>
      </c>
      <c r="AJ37" s="43"/>
      <c r="AK37" s="51">
        <f t="shared" si="1"/>
        <v>2</v>
      </c>
      <c r="AL37" s="51">
        <f t="shared" si="2"/>
        <v>-1</v>
      </c>
      <c r="AM37" s="44"/>
      <c r="AN37" s="44"/>
      <c r="AO37" s="44"/>
      <c r="AP37" s="44"/>
    </row>
    <row r="38" ht="42.0" customHeight="1">
      <c r="A38" s="45"/>
      <c r="B38" s="45"/>
      <c r="C38" s="49" t="s">
        <v>125</v>
      </c>
      <c r="D38" s="50" t="s">
        <v>42</v>
      </c>
      <c r="E38" s="58" t="s">
        <v>88</v>
      </c>
      <c r="F38" s="51">
        <v>2.0</v>
      </c>
      <c r="G38" s="51">
        <v>0.0</v>
      </c>
      <c r="H38" s="51">
        <v>2.0</v>
      </c>
      <c r="I38" s="43"/>
      <c r="J38" s="51">
        <v>0.0</v>
      </c>
      <c r="K38" s="51">
        <v>2.0</v>
      </c>
      <c r="L38" s="43"/>
      <c r="M38" s="51">
        <v>0.0</v>
      </c>
      <c r="N38" s="51">
        <v>2.0</v>
      </c>
      <c r="O38" s="43"/>
      <c r="P38" s="51">
        <v>1.0</v>
      </c>
      <c r="Q38" s="51">
        <v>2.0</v>
      </c>
      <c r="R38" s="43"/>
      <c r="S38" s="51">
        <v>1.0</v>
      </c>
      <c r="T38" s="51">
        <v>1.0</v>
      </c>
      <c r="U38" s="43"/>
      <c r="V38" s="51">
        <v>0.0</v>
      </c>
      <c r="W38" s="51">
        <v>1.0</v>
      </c>
      <c r="X38" s="43"/>
      <c r="Y38" s="51">
        <v>0.0</v>
      </c>
      <c r="Z38" s="51">
        <v>1.0</v>
      </c>
      <c r="AA38" s="43"/>
      <c r="AB38" s="51">
        <v>0.0</v>
      </c>
      <c r="AC38" s="51">
        <v>1.0</v>
      </c>
      <c r="AD38" s="43"/>
      <c r="AE38" s="51">
        <v>0.0</v>
      </c>
      <c r="AF38" s="51">
        <v>1.0</v>
      </c>
      <c r="AG38" s="43"/>
      <c r="AH38" s="51">
        <v>0.0</v>
      </c>
      <c r="AI38" s="51">
        <v>1.0</v>
      </c>
      <c r="AJ38" s="43"/>
      <c r="AK38" s="51">
        <f t="shared" si="1"/>
        <v>2</v>
      </c>
      <c r="AL38" s="51">
        <f t="shared" si="2"/>
        <v>0</v>
      </c>
      <c r="AM38" s="44"/>
      <c r="AN38" s="44"/>
      <c r="AO38" s="44"/>
      <c r="AP38" s="44"/>
    </row>
    <row r="39" ht="42.0" customHeight="1">
      <c r="A39" s="45"/>
      <c r="B39" s="45"/>
      <c r="C39" s="49" t="s">
        <v>126</v>
      </c>
      <c r="D39" s="50" t="s">
        <v>42</v>
      </c>
      <c r="E39" s="58" t="s">
        <v>88</v>
      </c>
      <c r="F39" s="51">
        <v>1.0</v>
      </c>
      <c r="G39" s="51">
        <v>0.0</v>
      </c>
      <c r="H39" s="51">
        <v>1.0</v>
      </c>
      <c r="I39" s="43"/>
      <c r="J39" s="51">
        <v>0.0</v>
      </c>
      <c r="K39" s="51">
        <v>1.0</v>
      </c>
      <c r="L39" s="43"/>
      <c r="M39" s="51">
        <v>0.0</v>
      </c>
      <c r="N39" s="51">
        <v>1.0</v>
      </c>
      <c r="O39" s="43"/>
      <c r="P39" s="51">
        <v>1.0</v>
      </c>
      <c r="Q39" s="51">
        <v>0.0</v>
      </c>
      <c r="R39" s="43"/>
      <c r="S39" s="51">
        <v>0.0</v>
      </c>
      <c r="T39" s="51">
        <v>0.0</v>
      </c>
      <c r="U39" s="43"/>
      <c r="V39" s="51">
        <v>0.0</v>
      </c>
      <c r="W39" s="51">
        <v>0.0</v>
      </c>
      <c r="X39" s="43"/>
      <c r="Y39" s="51">
        <v>0.0</v>
      </c>
      <c r="Z39" s="51">
        <v>0.0</v>
      </c>
      <c r="AA39" s="43"/>
      <c r="AB39" s="51">
        <v>0.0</v>
      </c>
      <c r="AC39" s="51">
        <v>0.0</v>
      </c>
      <c r="AD39" s="43"/>
      <c r="AE39" s="51">
        <v>0.0</v>
      </c>
      <c r="AF39" s="51">
        <v>0.0</v>
      </c>
      <c r="AG39" s="43"/>
      <c r="AH39" s="51">
        <v>0.0</v>
      </c>
      <c r="AI39" s="51">
        <v>0.0</v>
      </c>
      <c r="AJ39" s="43"/>
      <c r="AK39" s="51">
        <f t="shared" si="1"/>
        <v>1</v>
      </c>
      <c r="AL39" s="51">
        <f t="shared" si="2"/>
        <v>0</v>
      </c>
      <c r="AM39" s="44"/>
      <c r="AN39" s="44"/>
      <c r="AO39" s="44"/>
      <c r="AP39" s="44"/>
    </row>
    <row r="40" ht="42.0" customHeight="1">
      <c r="A40" s="45"/>
      <c r="B40" s="45"/>
      <c r="C40" s="49" t="s">
        <v>127</v>
      </c>
      <c r="D40" s="50" t="s">
        <v>42</v>
      </c>
      <c r="E40" s="58" t="s">
        <v>88</v>
      </c>
      <c r="F40" s="51">
        <v>2.0</v>
      </c>
      <c r="G40" s="51">
        <v>0.0</v>
      </c>
      <c r="H40" s="51">
        <v>2.0</v>
      </c>
      <c r="I40" s="43"/>
      <c r="J40" s="51">
        <v>0.0</v>
      </c>
      <c r="K40" s="51">
        <v>2.0</v>
      </c>
      <c r="L40" s="43"/>
      <c r="M40" s="51">
        <v>0.0</v>
      </c>
      <c r="N40" s="51">
        <v>2.0</v>
      </c>
      <c r="O40" s="43"/>
      <c r="P40" s="51">
        <v>1.0</v>
      </c>
      <c r="Q40" s="51">
        <v>1.0</v>
      </c>
      <c r="R40" s="43"/>
      <c r="S40" s="51">
        <v>1.0</v>
      </c>
      <c r="T40" s="51">
        <v>1.0</v>
      </c>
      <c r="U40" s="43"/>
      <c r="V40" s="51">
        <v>0.0</v>
      </c>
      <c r="W40" s="51">
        <v>1.0</v>
      </c>
      <c r="X40" s="43"/>
      <c r="Y40" s="51">
        <v>0.0</v>
      </c>
      <c r="Z40" s="51">
        <v>1.0</v>
      </c>
      <c r="AA40" s="43"/>
      <c r="AB40" s="51">
        <v>0.0</v>
      </c>
      <c r="AC40" s="51">
        <v>1.0</v>
      </c>
      <c r="AD40" s="43"/>
      <c r="AE40" s="51">
        <v>0.0</v>
      </c>
      <c r="AF40" s="51">
        <v>1.0</v>
      </c>
      <c r="AG40" s="43"/>
      <c r="AH40" s="51">
        <v>0.0</v>
      </c>
      <c r="AI40" s="51">
        <v>1.0</v>
      </c>
      <c r="AJ40" s="43"/>
      <c r="AK40" s="51">
        <f t="shared" si="1"/>
        <v>2</v>
      </c>
      <c r="AL40" s="51">
        <f t="shared" si="2"/>
        <v>0</v>
      </c>
      <c r="AM40" s="44"/>
      <c r="AN40" s="44"/>
      <c r="AO40" s="44"/>
      <c r="AP40" s="44"/>
    </row>
    <row r="41" ht="42.0" customHeight="1">
      <c r="A41" s="11"/>
      <c r="B41" s="11"/>
      <c r="C41" s="49" t="s">
        <v>128</v>
      </c>
      <c r="D41" s="50" t="s">
        <v>42</v>
      </c>
      <c r="E41" s="58" t="s">
        <v>88</v>
      </c>
      <c r="F41" s="51">
        <v>1.0</v>
      </c>
      <c r="G41" s="53">
        <v>0.0</v>
      </c>
      <c r="H41" s="51">
        <v>1.0</v>
      </c>
      <c r="I41" s="43"/>
      <c r="J41" s="51">
        <v>0.0</v>
      </c>
      <c r="K41" s="51">
        <v>1.0</v>
      </c>
      <c r="L41" s="43"/>
      <c r="M41" s="51">
        <v>0.0</v>
      </c>
      <c r="N41" s="51">
        <v>1.0</v>
      </c>
      <c r="O41" s="43"/>
      <c r="P41" s="51">
        <v>0.0</v>
      </c>
      <c r="Q41" s="51">
        <v>1.0</v>
      </c>
      <c r="R41" s="43"/>
      <c r="S41" s="51">
        <v>0.0</v>
      </c>
      <c r="T41" s="51">
        <v>1.0</v>
      </c>
      <c r="U41" s="43"/>
      <c r="V41" s="51">
        <v>1.0</v>
      </c>
      <c r="W41" s="51">
        <v>0.0</v>
      </c>
      <c r="X41" s="43"/>
      <c r="Y41" s="51">
        <v>0.0</v>
      </c>
      <c r="Z41" s="51">
        <v>0.0</v>
      </c>
      <c r="AA41" s="43"/>
      <c r="AB41" s="51">
        <v>0.0</v>
      </c>
      <c r="AC41" s="51">
        <v>0.0</v>
      </c>
      <c r="AD41" s="43"/>
      <c r="AE41" s="51">
        <v>0.0</v>
      </c>
      <c r="AF41" s="51">
        <v>0.0</v>
      </c>
      <c r="AG41" s="43"/>
      <c r="AH41" s="51">
        <v>0.0</v>
      </c>
      <c r="AI41" s="51">
        <v>0.0</v>
      </c>
      <c r="AJ41" s="43"/>
      <c r="AK41" s="51">
        <f t="shared" si="1"/>
        <v>1</v>
      </c>
      <c r="AL41" s="51">
        <f t="shared" si="2"/>
        <v>0</v>
      </c>
      <c r="AM41" s="44"/>
      <c r="AN41" s="44"/>
      <c r="AO41" s="44"/>
      <c r="AP41" s="44"/>
    </row>
    <row r="42" ht="42.0" customHeight="1">
      <c r="A42" s="52" t="s">
        <v>53</v>
      </c>
      <c r="B42" s="39" t="s">
        <v>129</v>
      </c>
      <c r="C42" s="40" t="s">
        <v>130</v>
      </c>
      <c r="D42" s="41" t="s">
        <v>42</v>
      </c>
      <c r="E42" s="56" t="s">
        <v>88</v>
      </c>
      <c r="F42" s="42">
        <v>2.0</v>
      </c>
      <c r="G42" s="57">
        <v>0.0</v>
      </c>
      <c r="H42" s="42">
        <v>2.0</v>
      </c>
      <c r="I42" s="43"/>
      <c r="J42" s="42">
        <v>0.0</v>
      </c>
      <c r="K42" s="42">
        <v>2.0</v>
      </c>
      <c r="L42" s="43"/>
      <c r="M42" s="42">
        <v>0.0</v>
      </c>
      <c r="N42" s="42">
        <v>2.0</v>
      </c>
      <c r="O42" s="43"/>
      <c r="P42" s="42">
        <v>0.0</v>
      </c>
      <c r="Q42" s="42">
        <v>2.0</v>
      </c>
      <c r="R42" s="43"/>
      <c r="S42" s="42">
        <v>0.0</v>
      </c>
      <c r="T42" s="42">
        <v>2.0</v>
      </c>
      <c r="U42" s="43"/>
      <c r="V42" s="42">
        <v>1.0</v>
      </c>
      <c r="W42" s="42">
        <v>1.0</v>
      </c>
      <c r="X42" s="43"/>
      <c r="Y42" s="42">
        <v>1.0</v>
      </c>
      <c r="Z42" s="42">
        <v>1.0</v>
      </c>
      <c r="AA42" s="43"/>
      <c r="AB42" s="42">
        <v>0.0</v>
      </c>
      <c r="AC42" s="42">
        <v>1.0</v>
      </c>
      <c r="AD42" s="43"/>
      <c r="AE42" s="42">
        <v>0.0</v>
      </c>
      <c r="AF42" s="42">
        <v>1.0</v>
      </c>
      <c r="AG42" s="43"/>
      <c r="AH42" s="42">
        <v>0.0</v>
      </c>
      <c r="AI42" s="42">
        <v>1.0</v>
      </c>
      <c r="AJ42" s="43"/>
      <c r="AK42" s="42">
        <f t="shared" si="1"/>
        <v>2</v>
      </c>
      <c r="AL42" s="42">
        <f t="shared" si="2"/>
        <v>0</v>
      </c>
      <c r="AM42" s="44"/>
      <c r="AN42" s="44"/>
      <c r="AO42" s="44"/>
      <c r="AP42" s="44"/>
    </row>
    <row r="43" ht="42.0" customHeight="1">
      <c r="A43" s="45"/>
      <c r="B43" s="45"/>
      <c r="C43" s="40" t="s">
        <v>131</v>
      </c>
      <c r="D43" s="41" t="s">
        <v>42</v>
      </c>
      <c r="E43" s="56" t="s">
        <v>88</v>
      </c>
      <c r="F43" s="42">
        <v>1.0</v>
      </c>
      <c r="G43" s="57">
        <v>0.0</v>
      </c>
      <c r="H43" s="42">
        <v>1.0</v>
      </c>
      <c r="I43" s="43"/>
      <c r="J43" s="42">
        <v>0.0</v>
      </c>
      <c r="K43" s="42">
        <v>1.0</v>
      </c>
      <c r="L43" s="43"/>
      <c r="M43" s="42">
        <v>0.0</v>
      </c>
      <c r="N43" s="42">
        <v>1.0</v>
      </c>
      <c r="O43" s="43"/>
      <c r="P43" s="42">
        <v>0.0</v>
      </c>
      <c r="Q43" s="42">
        <v>1.0</v>
      </c>
      <c r="R43" s="43"/>
      <c r="S43" s="42">
        <v>0.0</v>
      </c>
      <c r="T43" s="42">
        <v>1.0</v>
      </c>
      <c r="U43" s="43"/>
      <c r="V43" s="42">
        <v>0.0</v>
      </c>
      <c r="W43" s="42">
        <v>1.0</v>
      </c>
      <c r="X43" s="43"/>
      <c r="Y43" s="42">
        <v>1.0</v>
      </c>
      <c r="Z43" s="42">
        <v>0.0</v>
      </c>
      <c r="AA43" s="43"/>
      <c r="AB43" s="42">
        <v>0.0</v>
      </c>
      <c r="AC43" s="42">
        <v>0.0</v>
      </c>
      <c r="AD43" s="43"/>
      <c r="AE43" s="42">
        <v>0.0</v>
      </c>
      <c r="AF43" s="42">
        <v>0.0</v>
      </c>
      <c r="AG43" s="43"/>
      <c r="AH43" s="42">
        <v>0.0</v>
      </c>
      <c r="AI43" s="42">
        <v>0.0</v>
      </c>
      <c r="AJ43" s="43"/>
      <c r="AK43" s="42">
        <f t="shared" si="1"/>
        <v>1</v>
      </c>
      <c r="AL43" s="42">
        <f t="shared" si="2"/>
        <v>0</v>
      </c>
      <c r="AM43" s="44"/>
      <c r="AN43" s="44"/>
      <c r="AO43" s="44"/>
      <c r="AP43" s="44"/>
    </row>
    <row r="44" ht="42.0" customHeight="1">
      <c r="A44" s="45"/>
      <c r="B44" s="45"/>
      <c r="C44" s="40" t="s">
        <v>132</v>
      </c>
      <c r="D44" s="41" t="s">
        <v>42</v>
      </c>
      <c r="E44" s="56" t="s">
        <v>88</v>
      </c>
      <c r="F44" s="42">
        <v>1.0</v>
      </c>
      <c r="G44" s="57">
        <v>0.0</v>
      </c>
      <c r="H44" s="42">
        <v>1.0</v>
      </c>
      <c r="I44" s="43"/>
      <c r="J44" s="42">
        <v>0.0</v>
      </c>
      <c r="K44" s="42">
        <v>1.0</v>
      </c>
      <c r="L44" s="43"/>
      <c r="M44" s="42">
        <v>0.0</v>
      </c>
      <c r="N44" s="42">
        <v>1.0</v>
      </c>
      <c r="O44" s="43"/>
      <c r="P44" s="42">
        <v>0.0</v>
      </c>
      <c r="Q44" s="42">
        <v>1.0</v>
      </c>
      <c r="R44" s="43"/>
      <c r="S44" s="42">
        <v>1.0</v>
      </c>
      <c r="T44" s="42">
        <v>1.0</v>
      </c>
      <c r="U44" s="43"/>
      <c r="V44" s="42">
        <v>1.0</v>
      </c>
      <c r="W44" s="42">
        <v>0.0</v>
      </c>
      <c r="X44" s="43"/>
      <c r="Y44" s="42">
        <v>0.0</v>
      </c>
      <c r="Z44" s="42">
        <v>0.0</v>
      </c>
      <c r="AA44" s="43"/>
      <c r="AB44" s="42">
        <v>0.0</v>
      </c>
      <c r="AC44" s="42">
        <v>0.0</v>
      </c>
      <c r="AD44" s="43"/>
      <c r="AE44" s="42">
        <v>0.0</v>
      </c>
      <c r="AF44" s="42">
        <v>0.0</v>
      </c>
      <c r="AG44" s="43"/>
      <c r="AH44" s="42">
        <v>0.0</v>
      </c>
      <c r="AI44" s="42">
        <v>0.0</v>
      </c>
      <c r="AJ44" s="43"/>
      <c r="AK44" s="42">
        <f t="shared" si="1"/>
        <v>2</v>
      </c>
      <c r="AL44" s="42">
        <f t="shared" si="2"/>
        <v>-1</v>
      </c>
      <c r="AM44" s="44"/>
      <c r="AN44" s="44"/>
      <c r="AO44" s="44"/>
      <c r="AP44" s="44"/>
    </row>
    <row r="45" ht="42.0" customHeight="1">
      <c r="A45" s="45"/>
      <c r="B45" s="45"/>
      <c r="C45" s="40" t="s">
        <v>133</v>
      </c>
      <c r="D45" s="41" t="s">
        <v>42</v>
      </c>
      <c r="E45" s="56" t="s">
        <v>88</v>
      </c>
      <c r="F45" s="42">
        <v>2.0</v>
      </c>
      <c r="G45" s="57">
        <v>0.0</v>
      </c>
      <c r="H45" s="42">
        <v>2.0</v>
      </c>
      <c r="I45" s="43"/>
      <c r="J45" s="42">
        <v>0.0</v>
      </c>
      <c r="K45" s="42">
        <v>2.0</v>
      </c>
      <c r="L45" s="43"/>
      <c r="M45" s="42">
        <v>0.0</v>
      </c>
      <c r="N45" s="42">
        <v>2.0</v>
      </c>
      <c r="O45" s="43"/>
      <c r="P45" s="42">
        <v>0.0</v>
      </c>
      <c r="Q45" s="42">
        <v>2.0</v>
      </c>
      <c r="R45" s="43"/>
      <c r="S45" s="42">
        <v>1.0</v>
      </c>
      <c r="T45" s="42">
        <v>1.0</v>
      </c>
      <c r="U45" s="43"/>
      <c r="V45" s="42">
        <v>0.0</v>
      </c>
      <c r="W45" s="42">
        <v>1.0</v>
      </c>
      <c r="X45" s="43"/>
      <c r="Y45" s="42">
        <v>1.0</v>
      </c>
      <c r="Z45" s="42">
        <v>1.0</v>
      </c>
      <c r="AA45" s="43"/>
      <c r="AB45" s="42">
        <v>0.0</v>
      </c>
      <c r="AC45" s="42">
        <v>1.0</v>
      </c>
      <c r="AD45" s="43"/>
      <c r="AE45" s="42">
        <v>0.0</v>
      </c>
      <c r="AF45" s="42">
        <v>1.0</v>
      </c>
      <c r="AG45" s="43"/>
      <c r="AH45" s="42">
        <v>0.0</v>
      </c>
      <c r="AI45" s="42">
        <v>1.0</v>
      </c>
      <c r="AJ45" s="43"/>
      <c r="AK45" s="42">
        <f t="shared" si="1"/>
        <v>2</v>
      </c>
      <c r="AL45" s="42">
        <f t="shared" si="2"/>
        <v>0</v>
      </c>
      <c r="AM45" s="44"/>
      <c r="AN45" s="44"/>
      <c r="AO45" s="44"/>
      <c r="AP45" s="44"/>
    </row>
    <row r="46" ht="42.0" customHeight="1">
      <c r="A46" s="45"/>
      <c r="B46" s="45"/>
      <c r="C46" s="40" t="s">
        <v>134</v>
      </c>
      <c r="D46" s="41" t="s">
        <v>42</v>
      </c>
      <c r="E46" s="56" t="s">
        <v>88</v>
      </c>
      <c r="F46" s="42">
        <v>1.0</v>
      </c>
      <c r="G46" s="57">
        <v>0.0</v>
      </c>
      <c r="H46" s="42">
        <v>1.0</v>
      </c>
      <c r="I46" s="43"/>
      <c r="J46" s="42">
        <v>0.0</v>
      </c>
      <c r="K46" s="42">
        <v>1.0</v>
      </c>
      <c r="L46" s="43"/>
      <c r="M46" s="42">
        <v>0.0</v>
      </c>
      <c r="N46" s="42">
        <v>1.0</v>
      </c>
      <c r="O46" s="43"/>
      <c r="P46" s="42">
        <v>0.0</v>
      </c>
      <c r="Q46" s="42">
        <v>1.0</v>
      </c>
      <c r="R46" s="43"/>
      <c r="S46" s="42">
        <v>0.0</v>
      </c>
      <c r="T46" s="42">
        <v>1.0</v>
      </c>
      <c r="U46" s="43"/>
      <c r="V46" s="42">
        <v>0.0</v>
      </c>
      <c r="W46" s="42">
        <v>1.0</v>
      </c>
      <c r="X46" s="43"/>
      <c r="Y46" s="42">
        <v>0.0</v>
      </c>
      <c r="Z46" s="42">
        <v>0.0</v>
      </c>
      <c r="AA46" s="43"/>
      <c r="AB46" s="42">
        <v>0.0</v>
      </c>
      <c r="AC46" s="42">
        <v>0.0</v>
      </c>
      <c r="AD46" s="43"/>
      <c r="AE46" s="42">
        <v>0.0</v>
      </c>
      <c r="AF46" s="42">
        <v>0.0</v>
      </c>
      <c r="AG46" s="43"/>
      <c r="AH46" s="42">
        <v>0.0</v>
      </c>
      <c r="AI46" s="42">
        <v>0.0</v>
      </c>
      <c r="AJ46" s="43"/>
      <c r="AK46" s="42">
        <f t="shared" si="1"/>
        <v>0</v>
      </c>
      <c r="AL46" s="42">
        <f t="shared" si="2"/>
        <v>1</v>
      </c>
      <c r="AM46" s="44"/>
      <c r="AN46" s="44"/>
      <c r="AO46" s="44"/>
      <c r="AP46" s="44"/>
    </row>
    <row r="47" ht="42.0" customHeight="1">
      <c r="A47" s="11"/>
      <c r="B47" s="11"/>
      <c r="C47" s="40" t="s">
        <v>135</v>
      </c>
      <c r="D47" s="41" t="s">
        <v>42</v>
      </c>
      <c r="E47" s="56" t="s">
        <v>88</v>
      </c>
      <c r="F47" s="42">
        <v>1.0</v>
      </c>
      <c r="G47" s="42">
        <v>0.0</v>
      </c>
      <c r="H47" s="42">
        <v>1.0</v>
      </c>
      <c r="I47" s="43"/>
      <c r="J47" s="42">
        <v>0.0</v>
      </c>
      <c r="K47" s="42">
        <v>1.0</v>
      </c>
      <c r="L47" s="43"/>
      <c r="M47" s="42">
        <v>0.0</v>
      </c>
      <c r="N47" s="42">
        <v>1.0</v>
      </c>
      <c r="O47" s="43"/>
      <c r="P47" s="42">
        <v>0.0</v>
      </c>
      <c r="Q47" s="42">
        <v>1.0</v>
      </c>
      <c r="R47" s="43"/>
      <c r="S47" s="42">
        <v>0.0</v>
      </c>
      <c r="T47" s="42">
        <v>1.0</v>
      </c>
      <c r="U47" s="43"/>
      <c r="V47" s="42">
        <v>0.0</v>
      </c>
      <c r="W47" s="42">
        <v>1.0</v>
      </c>
      <c r="X47" s="43"/>
      <c r="Y47" s="42">
        <v>0.0</v>
      </c>
      <c r="Z47" s="42">
        <v>0.0</v>
      </c>
      <c r="AA47" s="43"/>
      <c r="AB47" s="42">
        <v>0.0</v>
      </c>
      <c r="AC47" s="42">
        <v>0.0</v>
      </c>
      <c r="AD47" s="43"/>
      <c r="AE47" s="42">
        <v>0.0</v>
      </c>
      <c r="AF47" s="42">
        <v>0.0</v>
      </c>
      <c r="AG47" s="43"/>
      <c r="AH47" s="42">
        <v>0.0</v>
      </c>
      <c r="AI47" s="42">
        <v>0.0</v>
      </c>
      <c r="AJ47" s="43"/>
      <c r="AK47" s="42">
        <f t="shared" si="1"/>
        <v>0</v>
      </c>
      <c r="AL47" s="42">
        <f t="shared" si="2"/>
        <v>1</v>
      </c>
      <c r="AM47" s="44"/>
      <c r="AN47" s="44"/>
      <c r="AO47" s="44"/>
      <c r="AP47" s="44"/>
    </row>
    <row r="48" ht="42.0" customHeight="1">
      <c r="A48" s="47" t="s">
        <v>55</v>
      </c>
      <c r="B48" s="48" t="s">
        <v>136</v>
      </c>
      <c r="C48" s="49" t="s">
        <v>137</v>
      </c>
      <c r="D48" s="50" t="s">
        <v>45</v>
      </c>
      <c r="E48" s="58" t="s">
        <v>88</v>
      </c>
      <c r="F48" s="51">
        <v>1.0</v>
      </c>
      <c r="G48" s="51">
        <v>0.0</v>
      </c>
      <c r="H48" s="51">
        <v>1.0</v>
      </c>
      <c r="I48" s="43"/>
      <c r="J48" s="51">
        <v>0.0</v>
      </c>
      <c r="K48" s="51">
        <v>1.0</v>
      </c>
      <c r="L48" s="43"/>
      <c r="M48" s="51">
        <v>0.0</v>
      </c>
      <c r="N48" s="51">
        <v>1.0</v>
      </c>
      <c r="O48" s="43"/>
      <c r="P48" s="51">
        <v>0.0</v>
      </c>
      <c r="Q48" s="51">
        <v>1.0</v>
      </c>
      <c r="R48" s="43"/>
      <c r="S48" s="51">
        <v>0.0</v>
      </c>
      <c r="T48" s="51">
        <v>1.0</v>
      </c>
      <c r="U48" s="54"/>
      <c r="V48" s="51">
        <v>0.0</v>
      </c>
      <c r="W48" s="51">
        <v>1.0</v>
      </c>
      <c r="X48" s="54"/>
      <c r="Y48" s="51">
        <v>1.0</v>
      </c>
      <c r="Z48" s="51">
        <v>0.0</v>
      </c>
      <c r="AA48" s="54"/>
      <c r="AB48" s="51">
        <v>0.0</v>
      </c>
      <c r="AC48" s="51">
        <v>0.0</v>
      </c>
      <c r="AD48" s="54"/>
      <c r="AE48" s="51">
        <v>0.0</v>
      </c>
      <c r="AF48" s="51">
        <v>0.0</v>
      </c>
      <c r="AG48" s="54"/>
      <c r="AH48" s="51">
        <v>0.0</v>
      </c>
      <c r="AI48" s="51">
        <v>0.0</v>
      </c>
      <c r="AJ48" s="55"/>
      <c r="AK48" s="51">
        <f t="shared" si="1"/>
        <v>1</v>
      </c>
      <c r="AL48" s="51">
        <f t="shared" si="2"/>
        <v>0</v>
      </c>
      <c r="AM48" s="44"/>
      <c r="AN48" s="44"/>
      <c r="AO48" s="44"/>
      <c r="AP48" s="44"/>
    </row>
    <row r="49" ht="42.0" customHeight="1">
      <c r="A49" s="45"/>
      <c r="B49" s="45"/>
      <c r="C49" s="49" t="s">
        <v>138</v>
      </c>
      <c r="D49" s="50" t="s">
        <v>45</v>
      </c>
      <c r="E49" s="58" t="s">
        <v>88</v>
      </c>
      <c r="F49" s="51">
        <v>2.0</v>
      </c>
      <c r="G49" s="51">
        <v>0.0</v>
      </c>
      <c r="H49" s="51">
        <v>2.0</v>
      </c>
      <c r="I49" s="43"/>
      <c r="J49" s="51">
        <v>0.0</v>
      </c>
      <c r="K49" s="51">
        <v>2.0</v>
      </c>
      <c r="L49" s="54"/>
      <c r="M49" s="51">
        <v>0.0</v>
      </c>
      <c r="N49" s="51">
        <v>2.0</v>
      </c>
      <c r="O49" s="43"/>
      <c r="P49" s="51">
        <v>0.0</v>
      </c>
      <c r="Q49" s="51">
        <v>2.0</v>
      </c>
      <c r="R49" s="43"/>
      <c r="S49" s="51">
        <v>0.0</v>
      </c>
      <c r="T49" s="51">
        <v>2.0</v>
      </c>
      <c r="U49" s="43"/>
      <c r="V49" s="51">
        <v>1.0</v>
      </c>
      <c r="W49" s="51">
        <v>1.0</v>
      </c>
      <c r="X49" s="43"/>
      <c r="Y49" s="51">
        <v>1.0</v>
      </c>
      <c r="Z49" s="51">
        <v>1.0</v>
      </c>
      <c r="AA49" s="43"/>
      <c r="AB49" s="51">
        <v>0.0</v>
      </c>
      <c r="AC49" s="51">
        <v>1.0</v>
      </c>
      <c r="AD49" s="43"/>
      <c r="AE49" s="51">
        <v>0.0</v>
      </c>
      <c r="AF49" s="51">
        <v>1.0</v>
      </c>
      <c r="AG49" s="43"/>
      <c r="AH49" s="51">
        <v>0.0</v>
      </c>
      <c r="AI49" s="51">
        <v>1.0</v>
      </c>
      <c r="AJ49" s="43"/>
      <c r="AK49" s="51">
        <f t="shared" si="1"/>
        <v>2</v>
      </c>
      <c r="AL49" s="51">
        <f t="shared" si="2"/>
        <v>0</v>
      </c>
      <c r="AM49" s="44"/>
      <c r="AN49" s="44"/>
      <c r="AO49" s="44"/>
      <c r="AP49" s="44"/>
    </row>
    <row r="50" ht="42.0" customHeight="1">
      <c r="A50" s="45"/>
      <c r="B50" s="45"/>
      <c r="C50" s="49" t="s">
        <v>139</v>
      </c>
      <c r="D50" s="50" t="s">
        <v>45</v>
      </c>
      <c r="E50" s="58" t="s">
        <v>88</v>
      </c>
      <c r="F50" s="51">
        <v>1.0</v>
      </c>
      <c r="G50" s="51">
        <v>0.0</v>
      </c>
      <c r="H50" s="51">
        <v>1.0</v>
      </c>
      <c r="I50" s="43"/>
      <c r="J50" s="51">
        <v>0.0</v>
      </c>
      <c r="K50" s="51">
        <v>1.0</v>
      </c>
      <c r="L50" s="43"/>
      <c r="M50" s="51">
        <v>0.0</v>
      </c>
      <c r="N50" s="51">
        <v>1.0</v>
      </c>
      <c r="O50" s="54"/>
      <c r="P50" s="51">
        <v>0.0</v>
      </c>
      <c r="Q50" s="51">
        <v>1.0</v>
      </c>
      <c r="R50" s="43"/>
      <c r="S50" s="51">
        <v>1.0</v>
      </c>
      <c r="T50" s="51">
        <v>1.0</v>
      </c>
      <c r="U50" s="43"/>
      <c r="V50" s="51">
        <v>0.0</v>
      </c>
      <c r="W50" s="51">
        <v>0.0</v>
      </c>
      <c r="X50" s="43"/>
      <c r="Y50" s="51">
        <v>0.0</v>
      </c>
      <c r="Z50" s="51">
        <v>0.0</v>
      </c>
      <c r="AA50" s="43"/>
      <c r="AB50" s="51">
        <v>0.0</v>
      </c>
      <c r="AC50" s="51">
        <v>0.0</v>
      </c>
      <c r="AD50" s="43"/>
      <c r="AE50" s="51">
        <v>0.0</v>
      </c>
      <c r="AF50" s="51">
        <v>0.0</v>
      </c>
      <c r="AG50" s="43"/>
      <c r="AH50" s="51">
        <v>0.0</v>
      </c>
      <c r="AI50" s="51">
        <v>0.0</v>
      </c>
      <c r="AJ50" s="43"/>
      <c r="AK50" s="51">
        <f t="shared" si="1"/>
        <v>1</v>
      </c>
      <c r="AL50" s="51">
        <f t="shared" si="2"/>
        <v>0</v>
      </c>
      <c r="AM50" s="44"/>
      <c r="AN50" s="44"/>
      <c r="AO50" s="44"/>
      <c r="AP50" s="44"/>
    </row>
    <row r="51" ht="42.0" customHeight="1">
      <c r="A51" s="45"/>
      <c r="B51" s="45"/>
      <c r="C51" s="49" t="s">
        <v>140</v>
      </c>
      <c r="D51" s="50" t="s">
        <v>45</v>
      </c>
      <c r="E51" s="58" t="s">
        <v>88</v>
      </c>
      <c r="F51" s="51">
        <v>1.0</v>
      </c>
      <c r="G51" s="51">
        <v>0.0</v>
      </c>
      <c r="H51" s="51">
        <v>1.0</v>
      </c>
      <c r="I51" s="43"/>
      <c r="J51" s="51">
        <v>0.0</v>
      </c>
      <c r="K51" s="51">
        <v>1.0</v>
      </c>
      <c r="L51" s="43"/>
      <c r="M51" s="51">
        <v>0.0</v>
      </c>
      <c r="N51" s="51">
        <v>1.0</v>
      </c>
      <c r="O51" s="43"/>
      <c r="P51" s="51">
        <v>0.0</v>
      </c>
      <c r="Q51" s="51">
        <v>1.0</v>
      </c>
      <c r="R51" s="43"/>
      <c r="S51" s="51">
        <v>1.0</v>
      </c>
      <c r="T51" s="51">
        <v>0.0</v>
      </c>
      <c r="U51" s="43"/>
      <c r="V51" s="51">
        <v>0.0</v>
      </c>
      <c r="W51" s="51">
        <v>0.0</v>
      </c>
      <c r="X51" s="43"/>
      <c r="Y51" s="51">
        <v>0.0</v>
      </c>
      <c r="Z51" s="51">
        <v>0.0</v>
      </c>
      <c r="AA51" s="43"/>
      <c r="AB51" s="51">
        <v>0.0</v>
      </c>
      <c r="AC51" s="51">
        <v>0.0</v>
      </c>
      <c r="AD51" s="43"/>
      <c r="AE51" s="51">
        <v>0.0</v>
      </c>
      <c r="AF51" s="51">
        <v>0.0</v>
      </c>
      <c r="AG51" s="43"/>
      <c r="AH51" s="51">
        <v>0.0</v>
      </c>
      <c r="AI51" s="51">
        <v>0.0</v>
      </c>
      <c r="AJ51" s="43"/>
      <c r="AK51" s="51">
        <f t="shared" si="1"/>
        <v>1</v>
      </c>
      <c r="AL51" s="51">
        <f t="shared" si="2"/>
        <v>0</v>
      </c>
      <c r="AM51" s="44"/>
      <c r="AN51" s="44"/>
      <c r="AO51" s="44"/>
      <c r="AP51" s="44"/>
    </row>
    <row r="52" ht="42.0" customHeight="1">
      <c r="A52" s="45"/>
      <c r="B52" s="45"/>
      <c r="C52" s="49" t="s">
        <v>141</v>
      </c>
      <c r="D52" s="50" t="s">
        <v>45</v>
      </c>
      <c r="E52" s="58" t="s">
        <v>88</v>
      </c>
      <c r="F52" s="51">
        <v>2.0</v>
      </c>
      <c r="G52" s="51">
        <v>0.0</v>
      </c>
      <c r="H52" s="51">
        <v>2.0</v>
      </c>
      <c r="I52" s="43"/>
      <c r="J52" s="51">
        <v>0.0</v>
      </c>
      <c r="K52" s="51">
        <v>2.0</v>
      </c>
      <c r="L52" s="43"/>
      <c r="M52" s="51">
        <v>0.0</v>
      </c>
      <c r="N52" s="51">
        <v>2.0</v>
      </c>
      <c r="O52" s="43"/>
      <c r="P52" s="51">
        <v>0.0</v>
      </c>
      <c r="Q52" s="51">
        <v>2.0</v>
      </c>
      <c r="R52" s="43"/>
      <c r="S52" s="51">
        <v>1.0</v>
      </c>
      <c r="T52" s="51">
        <v>1.0</v>
      </c>
      <c r="U52" s="43"/>
      <c r="V52" s="51">
        <v>0.0</v>
      </c>
      <c r="W52" s="51">
        <v>1.0</v>
      </c>
      <c r="X52" s="43"/>
      <c r="Y52" s="51">
        <v>1.0</v>
      </c>
      <c r="Z52" s="51">
        <v>0.0</v>
      </c>
      <c r="AA52" s="43"/>
      <c r="AB52" s="51">
        <v>0.0</v>
      </c>
      <c r="AC52" s="51">
        <v>0.0</v>
      </c>
      <c r="AD52" s="43"/>
      <c r="AE52" s="51">
        <v>0.0</v>
      </c>
      <c r="AF52" s="51">
        <v>0.0</v>
      </c>
      <c r="AG52" s="43"/>
      <c r="AH52" s="51">
        <v>0.0</v>
      </c>
      <c r="AI52" s="51">
        <v>0.0</v>
      </c>
      <c r="AJ52" s="43"/>
      <c r="AK52" s="51">
        <f t="shared" si="1"/>
        <v>2</v>
      </c>
      <c r="AL52" s="51">
        <f t="shared" si="2"/>
        <v>0</v>
      </c>
      <c r="AM52" s="44"/>
      <c r="AN52" s="44"/>
      <c r="AO52" s="44"/>
      <c r="AP52" s="44"/>
    </row>
    <row r="53" ht="42.0" customHeight="1">
      <c r="A53" s="11"/>
      <c r="B53" s="11"/>
      <c r="C53" s="49" t="s">
        <v>142</v>
      </c>
      <c r="D53" s="50" t="s">
        <v>45</v>
      </c>
      <c r="E53" s="58" t="s">
        <v>88</v>
      </c>
      <c r="F53" s="51">
        <v>1.0</v>
      </c>
      <c r="G53" s="53">
        <v>0.0</v>
      </c>
      <c r="H53" s="51">
        <v>1.0</v>
      </c>
      <c r="I53" s="54"/>
      <c r="J53" s="51">
        <v>0.0</v>
      </c>
      <c r="K53" s="51">
        <v>1.0</v>
      </c>
      <c r="L53" s="43"/>
      <c r="M53" s="51">
        <v>0.0</v>
      </c>
      <c r="N53" s="51">
        <v>1.0</v>
      </c>
      <c r="O53" s="43"/>
      <c r="P53" s="51">
        <v>0.0</v>
      </c>
      <c r="Q53" s="51">
        <v>1.0</v>
      </c>
      <c r="R53" s="43"/>
      <c r="S53" s="51">
        <v>0.0</v>
      </c>
      <c r="T53" s="51">
        <v>1.0</v>
      </c>
      <c r="U53" s="43"/>
      <c r="V53" s="51">
        <v>0.0</v>
      </c>
      <c r="W53" s="51">
        <v>1.0</v>
      </c>
      <c r="X53" s="43"/>
      <c r="Y53" s="51">
        <v>1.0</v>
      </c>
      <c r="Z53" s="51">
        <v>0.0</v>
      </c>
      <c r="AA53" s="43"/>
      <c r="AB53" s="51">
        <v>0.0</v>
      </c>
      <c r="AC53" s="51">
        <v>0.0</v>
      </c>
      <c r="AD53" s="43"/>
      <c r="AE53" s="51">
        <v>0.0</v>
      </c>
      <c r="AF53" s="51">
        <v>0.0</v>
      </c>
      <c r="AG53" s="43"/>
      <c r="AH53" s="51">
        <v>0.0</v>
      </c>
      <c r="AI53" s="51">
        <v>0.0</v>
      </c>
      <c r="AJ53" s="43"/>
      <c r="AK53" s="51">
        <f t="shared" si="1"/>
        <v>1</v>
      </c>
      <c r="AL53" s="51">
        <f t="shared" si="2"/>
        <v>0</v>
      </c>
      <c r="AM53" s="44"/>
      <c r="AN53" s="44"/>
      <c r="AO53" s="44"/>
      <c r="AP53" s="44"/>
    </row>
    <row r="54" ht="42.0" customHeight="1">
      <c r="A54" s="52" t="s">
        <v>57</v>
      </c>
      <c r="B54" s="39" t="s">
        <v>143</v>
      </c>
      <c r="C54" s="40" t="s">
        <v>144</v>
      </c>
      <c r="D54" s="41" t="s">
        <v>45</v>
      </c>
      <c r="E54" s="41" t="s">
        <v>88</v>
      </c>
      <c r="F54" s="42">
        <v>1.0</v>
      </c>
      <c r="G54" s="57">
        <v>0.0</v>
      </c>
      <c r="H54" s="42">
        <v>1.0</v>
      </c>
      <c r="I54" s="43"/>
      <c r="J54" s="42">
        <v>0.0</v>
      </c>
      <c r="K54" s="42">
        <v>1.0</v>
      </c>
      <c r="L54" s="43"/>
      <c r="M54" s="42">
        <v>0.0</v>
      </c>
      <c r="N54" s="42">
        <v>1.0</v>
      </c>
      <c r="O54" s="43"/>
      <c r="P54" s="42">
        <v>0.0</v>
      </c>
      <c r="Q54" s="42">
        <v>1.0</v>
      </c>
      <c r="R54" s="43"/>
      <c r="S54" s="42">
        <v>0.0</v>
      </c>
      <c r="T54" s="42">
        <v>1.0</v>
      </c>
      <c r="U54" s="43"/>
      <c r="V54" s="42">
        <v>0.0</v>
      </c>
      <c r="W54" s="42">
        <v>1.0</v>
      </c>
      <c r="X54" s="43"/>
      <c r="Y54" s="42">
        <v>0.0</v>
      </c>
      <c r="Z54" s="42">
        <v>1.0</v>
      </c>
      <c r="AA54" s="43"/>
      <c r="AB54" s="42">
        <v>1.0</v>
      </c>
      <c r="AC54" s="42">
        <v>0.0</v>
      </c>
      <c r="AD54" s="43"/>
      <c r="AE54" s="42">
        <v>0.0</v>
      </c>
      <c r="AF54" s="42">
        <v>0.0</v>
      </c>
      <c r="AG54" s="43"/>
      <c r="AH54" s="42">
        <v>0.0</v>
      </c>
      <c r="AI54" s="42">
        <v>0.0</v>
      </c>
      <c r="AJ54" s="43"/>
      <c r="AK54" s="42">
        <f t="shared" si="1"/>
        <v>1</v>
      </c>
      <c r="AL54" s="42">
        <f t="shared" si="2"/>
        <v>0</v>
      </c>
      <c r="AM54" s="44"/>
      <c r="AN54" s="44"/>
      <c r="AO54" s="44"/>
      <c r="AP54" s="44"/>
    </row>
    <row r="55" ht="42.0" customHeight="1">
      <c r="A55" s="45"/>
      <c r="B55" s="45"/>
      <c r="C55" s="40" t="s">
        <v>145</v>
      </c>
      <c r="D55" s="41" t="s">
        <v>45</v>
      </c>
      <c r="E55" s="41" t="s">
        <v>88</v>
      </c>
      <c r="F55" s="42">
        <v>1.0</v>
      </c>
      <c r="G55" s="57">
        <v>0.0</v>
      </c>
      <c r="H55" s="42">
        <v>1.0</v>
      </c>
      <c r="I55" s="43"/>
      <c r="J55" s="42">
        <v>0.0</v>
      </c>
      <c r="K55" s="42">
        <v>1.0</v>
      </c>
      <c r="L55" s="43"/>
      <c r="M55" s="42">
        <v>0.0</v>
      </c>
      <c r="N55" s="42">
        <v>1.0</v>
      </c>
      <c r="O55" s="43"/>
      <c r="P55" s="42">
        <v>0.0</v>
      </c>
      <c r="Q55" s="42">
        <v>1.0</v>
      </c>
      <c r="R55" s="43"/>
      <c r="S55" s="42">
        <v>0.0</v>
      </c>
      <c r="T55" s="42">
        <v>1.0</v>
      </c>
      <c r="U55" s="43"/>
      <c r="V55" s="42">
        <v>0.0</v>
      </c>
      <c r="W55" s="42">
        <v>1.0</v>
      </c>
      <c r="X55" s="43"/>
      <c r="Y55" s="42">
        <v>1.0</v>
      </c>
      <c r="Z55" s="42">
        <v>1.0</v>
      </c>
      <c r="AA55" s="43"/>
      <c r="AB55" s="42">
        <v>1.0</v>
      </c>
      <c r="AC55" s="42">
        <v>0.0</v>
      </c>
      <c r="AD55" s="43"/>
      <c r="AE55" s="42">
        <v>0.0</v>
      </c>
      <c r="AF55" s="42">
        <v>0.0</v>
      </c>
      <c r="AG55" s="43"/>
      <c r="AH55" s="42">
        <v>0.0</v>
      </c>
      <c r="AI55" s="42">
        <v>0.0</v>
      </c>
      <c r="AJ55" s="43"/>
      <c r="AK55" s="42">
        <f t="shared" si="1"/>
        <v>2</v>
      </c>
      <c r="AL55" s="42">
        <f t="shared" si="2"/>
        <v>-1</v>
      </c>
      <c r="AM55" s="44"/>
      <c r="AN55" s="44"/>
      <c r="AO55" s="44"/>
      <c r="AP55" s="44"/>
    </row>
    <row r="56" ht="42.0" customHeight="1">
      <c r="A56" s="45"/>
      <c r="B56" s="45"/>
      <c r="C56" s="40" t="s">
        <v>146</v>
      </c>
      <c r="D56" s="41" t="s">
        <v>45</v>
      </c>
      <c r="E56" s="41" t="s">
        <v>88</v>
      </c>
      <c r="F56" s="42">
        <v>2.0</v>
      </c>
      <c r="G56" s="57">
        <v>0.0</v>
      </c>
      <c r="H56" s="42">
        <v>2.0</v>
      </c>
      <c r="I56" s="43"/>
      <c r="J56" s="42">
        <v>0.0</v>
      </c>
      <c r="K56" s="42">
        <v>2.0</v>
      </c>
      <c r="L56" s="43"/>
      <c r="M56" s="42">
        <v>0.0</v>
      </c>
      <c r="N56" s="42">
        <v>2.0</v>
      </c>
      <c r="O56" s="43"/>
      <c r="P56" s="42">
        <v>0.0</v>
      </c>
      <c r="Q56" s="42">
        <v>2.0</v>
      </c>
      <c r="R56" s="43"/>
      <c r="S56" s="42">
        <v>0.0</v>
      </c>
      <c r="T56" s="42">
        <v>2.0</v>
      </c>
      <c r="U56" s="43"/>
      <c r="V56" s="42">
        <v>0.0</v>
      </c>
      <c r="W56" s="42">
        <v>2.0</v>
      </c>
      <c r="X56" s="43"/>
      <c r="Y56" s="42">
        <v>0.0</v>
      </c>
      <c r="Z56" s="42">
        <v>2.0</v>
      </c>
      <c r="AA56" s="43"/>
      <c r="AB56" s="42">
        <v>0.0</v>
      </c>
      <c r="AC56" s="42">
        <v>2.0</v>
      </c>
      <c r="AD56" s="43"/>
      <c r="AE56" s="42">
        <v>0.0</v>
      </c>
      <c r="AF56" s="42">
        <v>2.0</v>
      </c>
      <c r="AG56" s="43"/>
      <c r="AH56" s="42">
        <v>0.0</v>
      </c>
      <c r="AI56" s="42">
        <v>2.0</v>
      </c>
      <c r="AJ56" s="43"/>
      <c r="AK56" s="42">
        <f t="shared" si="1"/>
        <v>0</v>
      </c>
      <c r="AL56" s="42">
        <f t="shared" si="2"/>
        <v>2</v>
      </c>
      <c r="AM56" s="44"/>
      <c r="AN56" s="44"/>
      <c r="AO56" s="44"/>
      <c r="AP56" s="44"/>
    </row>
    <row r="57" ht="42.0" customHeight="1">
      <c r="A57" s="45"/>
      <c r="B57" s="45"/>
      <c r="C57" s="40" t="s">
        <v>147</v>
      </c>
      <c r="D57" s="41" t="s">
        <v>45</v>
      </c>
      <c r="E57" s="41" t="s">
        <v>88</v>
      </c>
      <c r="F57" s="42">
        <v>1.0</v>
      </c>
      <c r="G57" s="57">
        <v>0.0</v>
      </c>
      <c r="H57" s="42">
        <v>1.0</v>
      </c>
      <c r="I57" s="43"/>
      <c r="J57" s="42">
        <v>0.0</v>
      </c>
      <c r="K57" s="42">
        <v>1.0</v>
      </c>
      <c r="L57" s="43"/>
      <c r="M57" s="42">
        <v>0.0</v>
      </c>
      <c r="N57" s="42">
        <v>1.0</v>
      </c>
      <c r="O57" s="43"/>
      <c r="P57" s="42">
        <v>0.0</v>
      </c>
      <c r="Q57" s="42">
        <v>1.0</v>
      </c>
      <c r="R57" s="43"/>
      <c r="S57" s="42">
        <v>0.0</v>
      </c>
      <c r="T57" s="42">
        <v>1.0</v>
      </c>
      <c r="U57" s="43"/>
      <c r="V57" s="42">
        <v>0.0</v>
      </c>
      <c r="W57" s="42">
        <v>1.0</v>
      </c>
      <c r="X57" s="43"/>
      <c r="Y57" s="42">
        <v>0.0</v>
      </c>
      <c r="Z57" s="42">
        <v>1.0</v>
      </c>
      <c r="AA57" s="43"/>
      <c r="AB57" s="42">
        <v>1.0</v>
      </c>
      <c r="AC57" s="42">
        <v>0.0</v>
      </c>
      <c r="AD57" s="43"/>
      <c r="AE57" s="42">
        <v>0.0</v>
      </c>
      <c r="AF57" s="42">
        <v>0.0</v>
      </c>
      <c r="AG57" s="43"/>
      <c r="AH57" s="42">
        <v>0.0</v>
      </c>
      <c r="AI57" s="42">
        <v>0.0</v>
      </c>
      <c r="AJ57" s="43"/>
      <c r="AK57" s="42">
        <f t="shared" si="1"/>
        <v>1</v>
      </c>
      <c r="AL57" s="42">
        <f t="shared" si="2"/>
        <v>0</v>
      </c>
      <c r="AM57" s="44"/>
      <c r="AN57" s="44"/>
      <c r="AO57" s="44"/>
      <c r="AP57" s="44"/>
    </row>
    <row r="58" ht="42.0" customHeight="1">
      <c r="A58" s="45"/>
      <c r="B58" s="45"/>
      <c r="C58" s="40" t="s">
        <v>148</v>
      </c>
      <c r="D58" s="41" t="s">
        <v>45</v>
      </c>
      <c r="E58" s="41" t="s">
        <v>88</v>
      </c>
      <c r="F58" s="42">
        <v>1.0</v>
      </c>
      <c r="G58" s="57">
        <v>0.0</v>
      </c>
      <c r="H58" s="42">
        <v>1.0</v>
      </c>
      <c r="I58" s="43"/>
      <c r="J58" s="42">
        <v>0.0</v>
      </c>
      <c r="K58" s="42">
        <v>1.0</v>
      </c>
      <c r="L58" s="43"/>
      <c r="M58" s="42">
        <v>0.0</v>
      </c>
      <c r="N58" s="42">
        <v>1.0</v>
      </c>
      <c r="O58" s="43"/>
      <c r="P58" s="42">
        <v>0.0</v>
      </c>
      <c r="Q58" s="42">
        <v>1.0</v>
      </c>
      <c r="R58" s="43"/>
      <c r="S58" s="42">
        <v>0.0</v>
      </c>
      <c r="T58" s="42">
        <v>1.0</v>
      </c>
      <c r="U58" s="43"/>
      <c r="V58" s="42">
        <v>0.0</v>
      </c>
      <c r="W58" s="42">
        <v>1.0</v>
      </c>
      <c r="X58" s="43"/>
      <c r="Y58" s="42">
        <v>1.0</v>
      </c>
      <c r="Z58" s="42">
        <v>0.0</v>
      </c>
      <c r="AA58" s="43"/>
      <c r="AB58" s="42">
        <v>0.0</v>
      </c>
      <c r="AC58" s="42">
        <v>0.0</v>
      </c>
      <c r="AD58" s="43"/>
      <c r="AE58" s="42">
        <v>0.0</v>
      </c>
      <c r="AF58" s="42">
        <v>0.0</v>
      </c>
      <c r="AG58" s="43"/>
      <c r="AH58" s="42">
        <v>0.0</v>
      </c>
      <c r="AI58" s="42">
        <v>0.0</v>
      </c>
      <c r="AJ58" s="43"/>
      <c r="AK58" s="42">
        <f t="shared" si="1"/>
        <v>1</v>
      </c>
      <c r="AL58" s="42">
        <f t="shared" si="2"/>
        <v>0</v>
      </c>
      <c r="AM58" s="44"/>
      <c r="AN58" s="44"/>
      <c r="AO58" s="44"/>
      <c r="AP58" s="44"/>
    </row>
    <row r="59" ht="42.0" customHeight="1">
      <c r="A59" s="11"/>
      <c r="B59" s="11"/>
      <c r="C59" s="40" t="s">
        <v>149</v>
      </c>
      <c r="D59" s="41" t="s">
        <v>45</v>
      </c>
      <c r="E59" s="41" t="s">
        <v>88</v>
      </c>
      <c r="F59" s="42">
        <v>1.0</v>
      </c>
      <c r="G59" s="42">
        <v>0.0</v>
      </c>
      <c r="H59" s="42">
        <v>1.0</v>
      </c>
      <c r="I59" s="54"/>
      <c r="J59" s="42">
        <v>0.0</v>
      </c>
      <c r="K59" s="42">
        <v>1.0</v>
      </c>
      <c r="L59" s="43"/>
      <c r="M59" s="42">
        <v>0.0</v>
      </c>
      <c r="N59" s="42">
        <v>1.0</v>
      </c>
      <c r="O59" s="43"/>
      <c r="P59" s="42">
        <v>0.0</v>
      </c>
      <c r="Q59" s="42">
        <v>1.0</v>
      </c>
      <c r="R59" s="43"/>
      <c r="S59" s="42">
        <v>0.0</v>
      </c>
      <c r="T59" s="42">
        <v>1.0</v>
      </c>
      <c r="U59" s="43"/>
      <c r="V59" s="42">
        <v>0.0</v>
      </c>
      <c r="W59" s="42">
        <v>1.0</v>
      </c>
      <c r="X59" s="43"/>
      <c r="Y59" s="42">
        <v>0.0</v>
      </c>
      <c r="Z59" s="42">
        <v>1.0</v>
      </c>
      <c r="AA59" s="43"/>
      <c r="AB59" s="42">
        <v>1.0</v>
      </c>
      <c r="AC59" s="42">
        <v>0.0</v>
      </c>
      <c r="AD59" s="43"/>
      <c r="AE59" s="42">
        <v>0.0</v>
      </c>
      <c r="AF59" s="42">
        <v>0.0</v>
      </c>
      <c r="AG59" s="43"/>
      <c r="AH59" s="42">
        <v>0.0</v>
      </c>
      <c r="AI59" s="42">
        <v>0.0</v>
      </c>
      <c r="AJ59" s="43"/>
      <c r="AK59" s="42">
        <f t="shared" si="1"/>
        <v>1</v>
      </c>
      <c r="AL59" s="42">
        <f t="shared" si="2"/>
        <v>0</v>
      </c>
      <c r="AM59" s="44"/>
      <c r="AN59" s="44"/>
      <c r="AO59" s="44"/>
      <c r="AP59" s="44"/>
    </row>
    <row r="60" ht="42.0" customHeight="1">
      <c r="A60" s="47" t="s">
        <v>60</v>
      </c>
      <c r="B60" s="48" t="s">
        <v>150</v>
      </c>
      <c r="C60" s="49" t="s">
        <v>151</v>
      </c>
      <c r="D60" s="50" t="s">
        <v>38</v>
      </c>
      <c r="E60" s="50" t="s">
        <v>88</v>
      </c>
      <c r="F60" s="51">
        <v>2.0</v>
      </c>
      <c r="G60" s="51">
        <v>0.0</v>
      </c>
      <c r="H60" s="51">
        <v>2.0</v>
      </c>
      <c r="I60" s="43"/>
      <c r="J60" s="51">
        <v>0.0</v>
      </c>
      <c r="K60" s="51">
        <v>2.0</v>
      </c>
      <c r="L60" s="43"/>
      <c r="M60" s="51">
        <v>0.0</v>
      </c>
      <c r="N60" s="51">
        <v>2.0</v>
      </c>
      <c r="O60" s="43"/>
      <c r="P60" s="51">
        <v>0.0</v>
      </c>
      <c r="Q60" s="51">
        <v>2.0</v>
      </c>
      <c r="R60" s="43"/>
      <c r="S60" s="51">
        <v>0.0</v>
      </c>
      <c r="T60" s="51">
        <v>2.0</v>
      </c>
      <c r="U60" s="43"/>
      <c r="V60" s="51">
        <v>0.0</v>
      </c>
      <c r="W60" s="51">
        <v>2.0</v>
      </c>
      <c r="X60" s="43"/>
      <c r="Y60" s="51">
        <v>1.0</v>
      </c>
      <c r="Z60" s="51">
        <v>2.0</v>
      </c>
      <c r="AA60" s="43"/>
      <c r="AB60" s="51">
        <v>1.0</v>
      </c>
      <c r="AC60" s="51">
        <v>1.0</v>
      </c>
      <c r="AD60" s="43"/>
      <c r="AE60" s="51">
        <v>1.0</v>
      </c>
      <c r="AF60" s="51">
        <v>1.0</v>
      </c>
      <c r="AG60" s="43"/>
      <c r="AH60" s="51">
        <v>0.0</v>
      </c>
      <c r="AI60" s="51">
        <v>1.0</v>
      </c>
      <c r="AJ60" s="43"/>
      <c r="AK60" s="51">
        <f t="shared" si="1"/>
        <v>3</v>
      </c>
      <c r="AL60" s="51">
        <f t="shared" si="2"/>
        <v>-1</v>
      </c>
      <c r="AM60" s="44"/>
      <c r="AN60" s="44"/>
      <c r="AO60" s="44"/>
      <c r="AP60" s="44"/>
    </row>
    <row r="61" ht="42.0" customHeight="1">
      <c r="A61" s="45"/>
      <c r="B61" s="45"/>
      <c r="C61" s="49" t="s">
        <v>152</v>
      </c>
      <c r="D61" s="50" t="s">
        <v>38</v>
      </c>
      <c r="E61" s="50" t="s">
        <v>88</v>
      </c>
      <c r="F61" s="51">
        <v>2.0</v>
      </c>
      <c r="G61" s="51">
        <v>0.0</v>
      </c>
      <c r="H61" s="51">
        <v>2.0</v>
      </c>
      <c r="I61" s="43"/>
      <c r="J61" s="51">
        <v>0.0</v>
      </c>
      <c r="K61" s="51">
        <v>2.0</v>
      </c>
      <c r="L61" s="43"/>
      <c r="M61" s="51">
        <v>0.0</v>
      </c>
      <c r="N61" s="51">
        <v>2.0</v>
      </c>
      <c r="O61" s="43"/>
      <c r="P61" s="51">
        <v>0.0</v>
      </c>
      <c r="Q61" s="51">
        <v>2.0</v>
      </c>
      <c r="R61" s="43"/>
      <c r="S61" s="51">
        <v>0.0</v>
      </c>
      <c r="T61" s="51">
        <v>2.0</v>
      </c>
      <c r="U61" s="43"/>
      <c r="V61" s="51">
        <v>0.0</v>
      </c>
      <c r="W61" s="51">
        <v>2.0</v>
      </c>
      <c r="X61" s="43"/>
      <c r="Y61" s="51">
        <v>1.0</v>
      </c>
      <c r="Z61" s="51">
        <v>2.0</v>
      </c>
      <c r="AA61" s="43"/>
      <c r="AB61" s="51">
        <v>0.0</v>
      </c>
      <c r="AC61" s="51">
        <v>1.0</v>
      </c>
      <c r="AD61" s="43"/>
      <c r="AE61" s="51">
        <v>1.0</v>
      </c>
      <c r="AF61" s="51">
        <v>1.0</v>
      </c>
      <c r="AG61" s="43"/>
      <c r="AH61" s="51">
        <v>0.0</v>
      </c>
      <c r="AI61" s="51">
        <v>1.0</v>
      </c>
      <c r="AJ61" s="43"/>
      <c r="AK61" s="51">
        <f t="shared" si="1"/>
        <v>2</v>
      </c>
      <c r="AL61" s="51">
        <f t="shared" si="2"/>
        <v>0</v>
      </c>
      <c r="AM61" s="44"/>
      <c r="AN61" s="44"/>
      <c r="AO61" s="44"/>
      <c r="AP61" s="44"/>
    </row>
    <row r="62" ht="42.0" customHeight="1">
      <c r="A62" s="45"/>
      <c r="B62" s="45"/>
      <c r="C62" s="49" t="s">
        <v>153</v>
      </c>
      <c r="D62" s="50" t="s">
        <v>38</v>
      </c>
      <c r="E62" s="50" t="s">
        <v>88</v>
      </c>
      <c r="F62" s="51">
        <v>1.0</v>
      </c>
      <c r="G62" s="51">
        <v>0.0</v>
      </c>
      <c r="H62" s="51">
        <v>1.0</v>
      </c>
      <c r="I62" s="43"/>
      <c r="J62" s="51">
        <v>0.0</v>
      </c>
      <c r="K62" s="51">
        <v>1.0</v>
      </c>
      <c r="L62" s="43"/>
      <c r="M62" s="51">
        <v>0.0</v>
      </c>
      <c r="N62" s="51">
        <v>1.0</v>
      </c>
      <c r="O62" s="43"/>
      <c r="P62" s="51">
        <v>0.0</v>
      </c>
      <c r="Q62" s="51">
        <v>1.0</v>
      </c>
      <c r="R62" s="43"/>
      <c r="S62" s="51">
        <v>0.0</v>
      </c>
      <c r="T62" s="51">
        <v>1.0</v>
      </c>
      <c r="U62" s="43"/>
      <c r="V62" s="51">
        <v>0.0</v>
      </c>
      <c r="W62" s="51">
        <v>1.0</v>
      </c>
      <c r="X62" s="43"/>
      <c r="Y62" s="51">
        <v>0.0</v>
      </c>
      <c r="Z62" s="51">
        <v>1.0</v>
      </c>
      <c r="AA62" s="43"/>
      <c r="AB62" s="51">
        <v>1.0</v>
      </c>
      <c r="AC62" s="51">
        <v>0.0</v>
      </c>
      <c r="AD62" s="43"/>
      <c r="AE62" s="51">
        <v>0.0</v>
      </c>
      <c r="AF62" s="51">
        <v>0.0</v>
      </c>
      <c r="AG62" s="43"/>
      <c r="AH62" s="51">
        <v>0.0</v>
      </c>
      <c r="AI62" s="51">
        <v>0.0</v>
      </c>
      <c r="AJ62" s="43"/>
      <c r="AK62" s="51">
        <f t="shared" si="1"/>
        <v>1</v>
      </c>
      <c r="AL62" s="51">
        <f t="shared" si="2"/>
        <v>0</v>
      </c>
      <c r="AM62" s="44"/>
      <c r="AN62" s="44"/>
      <c r="AO62" s="44"/>
      <c r="AP62" s="44"/>
    </row>
    <row r="63" ht="42.0" customHeight="1">
      <c r="A63" s="45"/>
      <c r="B63" s="45"/>
      <c r="C63" s="49" t="s">
        <v>154</v>
      </c>
      <c r="D63" s="50" t="s">
        <v>38</v>
      </c>
      <c r="E63" s="50" t="s">
        <v>88</v>
      </c>
      <c r="F63" s="51">
        <v>2.0</v>
      </c>
      <c r="G63" s="51">
        <v>0.0</v>
      </c>
      <c r="H63" s="51">
        <v>2.0</v>
      </c>
      <c r="I63" s="43"/>
      <c r="J63" s="51">
        <v>0.0</v>
      </c>
      <c r="K63" s="51">
        <v>2.0</v>
      </c>
      <c r="L63" s="43"/>
      <c r="M63" s="51">
        <v>0.0</v>
      </c>
      <c r="N63" s="51">
        <v>2.0</v>
      </c>
      <c r="O63" s="43"/>
      <c r="P63" s="51">
        <v>0.0</v>
      </c>
      <c r="Q63" s="51">
        <v>2.0</v>
      </c>
      <c r="R63" s="43"/>
      <c r="S63" s="51">
        <v>0.0</v>
      </c>
      <c r="T63" s="51">
        <v>2.0</v>
      </c>
      <c r="U63" s="43"/>
      <c r="V63" s="51">
        <v>0.0</v>
      </c>
      <c r="W63" s="51">
        <v>2.0</v>
      </c>
      <c r="X63" s="43"/>
      <c r="Y63" s="51">
        <v>1.0</v>
      </c>
      <c r="Z63" s="51">
        <v>2.0</v>
      </c>
      <c r="AA63" s="43"/>
      <c r="AB63" s="51">
        <v>1.0</v>
      </c>
      <c r="AC63" s="51">
        <v>1.0</v>
      </c>
      <c r="AD63" s="43"/>
      <c r="AE63" s="51">
        <v>0.0</v>
      </c>
      <c r="AF63" s="51">
        <v>1.0</v>
      </c>
      <c r="AG63" s="43"/>
      <c r="AH63" s="51">
        <v>0.0</v>
      </c>
      <c r="AI63" s="51">
        <v>1.0</v>
      </c>
      <c r="AJ63" s="43"/>
      <c r="AK63" s="51">
        <f t="shared" si="1"/>
        <v>2</v>
      </c>
      <c r="AL63" s="51">
        <f t="shared" si="2"/>
        <v>0</v>
      </c>
      <c r="AM63" s="44"/>
      <c r="AN63" s="44"/>
      <c r="AO63" s="44"/>
      <c r="AP63" s="44"/>
    </row>
    <row r="64" ht="42.0" customHeight="1">
      <c r="A64" s="45"/>
      <c r="B64" s="45"/>
      <c r="C64" s="49" t="s">
        <v>155</v>
      </c>
      <c r="D64" s="50" t="s">
        <v>38</v>
      </c>
      <c r="E64" s="50" t="s">
        <v>88</v>
      </c>
      <c r="F64" s="51">
        <v>1.0</v>
      </c>
      <c r="G64" s="51">
        <v>0.0</v>
      </c>
      <c r="H64" s="51">
        <v>1.0</v>
      </c>
      <c r="I64" s="43"/>
      <c r="J64" s="51">
        <v>0.0</v>
      </c>
      <c r="K64" s="51">
        <v>1.0</v>
      </c>
      <c r="L64" s="43"/>
      <c r="M64" s="51">
        <v>0.0</v>
      </c>
      <c r="N64" s="51">
        <v>1.0</v>
      </c>
      <c r="O64" s="43"/>
      <c r="P64" s="51">
        <v>0.0</v>
      </c>
      <c r="Q64" s="51">
        <v>1.0</v>
      </c>
      <c r="R64" s="43"/>
      <c r="S64" s="51">
        <v>0.0</v>
      </c>
      <c r="T64" s="51">
        <v>1.0</v>
      </c>
      <c r="U64" s="43"/>
      <c r="V64" s="51">
        <v>0.0</v>
      </c>
      <c r="W64" s="51">
        <v>1.0</v>
      </c>
      <c r="X64" s="43"/>
      <c r="Y64" s="51">
        <v>0.0</v>
      </c>
      <c r="Z64" s="51">
        <v>1.0</v>
      </c>
      <c r="AA64" s="43"/>
      <c r="AB64" s="51">
        <v>1.0</v>
      </c>
      <c r="AC64" s="51">
        <v>0.0</v>
      </c>
      <c r="AD64" s="43"/>
      <c r="AE64" s="51">
        <v>0.0</v>
      </c>
      <c r="AF64" s="51">
        <v>0.0</v>
      </c>
      <c r="AG64" s="43"/>
      <c r="AH64" s="51">
        <v>0.0</v>
      </c>
      <c r="AI64" s="51">
        <v>0.0</v>
      </c>
      <c r="AJ64" s="43"/>
      <c r="AK64" s="51">
        <f t="shared" si="1"/>
        <v>1</v>
      </c>
      <c r="AL64" s="51">
        <f t="shared" si="2"/>
        <v>0</v>
      </c>
      <c r="AM64" s="44"/>
      <c r="AN64" s="44"/>
      <c r="AO64" s="44"/>
      <c r="AP64" s="44"/>
    </row>
    <row r="65" ht="42.0" customHeight="1">
      <c r="A65" s="11"/>
      <c r="B65" s="11"/>
      <c r="C65" s="49" t="s">
        <v>156</v>
      </c>
      <c r="D65" s="50" t="s">
        <v>38</v>
      </c>
      <c r="E65" s="50" t="s">
        <v>88</v>
      </c>
      <c r="F65" s="51">
        <v>2.0</v>
      </c>
      <c r="G65" s="53">
        <v>0.0</v>
      </c>
      <c r="H65" s="51">
        <v>2.0</v>
      </c>
      <c r="I65" s="43"/>
      <c r="J65" s="51">
        <v>0.0</v>
      </c>
      <c r="K65" s="51">
        <v>2.0</v>
      </c>
      <c r="L65" s="43"/>
      <c r="M65" s="51">
        <v>0.0</v>
      </c>
      <c r="N65" s="51">
        <v>2.0</v>
      </c>
      <c r="O65" s="43"/>
      <c r="P65" s="51">
        <v>0.0</v>
      </c>
      <c r="Q65" s="51">
        <v>2.0</v>
      </c>
      <c r="R65" s="43"/>
      <c r="S65" s="51">
        <v>0.0</v>
      </c>
      <c r="T65" s="51">
        <v>2.0</v>
      </c>
      <c r="U65" s="43"/>
      <c r="V65" s="51">
        <v>0.0</v>
      </c>
      <c r="W65" s="51">
        <v>2.0</v>
      </c>
      <c r="X65" s="43"/>
      <c r="Y65" s="51">
        <v>1.0</v>
      </c>
      <c r="Z65" s="51">
        <v>1.0</v>
      </c>
      <c r="AA65" s="43"/>
      <c r="AB65" s="51">
        <v>1.0</v>
      </c>
      <c r="AC65" s="51">
        <v>1.0</v>
      </c>
      <c r="AD65" s="43"/>
      <c r="AE65" s="51">
        <v>0.0</v>
      </c>
      <c r="AF65" s="51">
        <v>0.0</v>
      </c>
      <c r="AG65" s="43"/>
      <c r="AH65" s="51">
        <v>0.0</v>
      </c>
      <c r="AI65" s="51">
        <v>0.0</v>
      </c>
      <c r="AJ65" s="43"/>
      <c r="AK65" s="51">
        <f t="shared" si="1"/>
        <v>2</v>
      </c>
      <c r="AL65" s="51">
        <f t="shared" si="2"/>
        <v>0</v>
      </c>
      <c r="AM65" s="44"/>
      <c r="AN65" s="44"/>
      <c r="AO65" s="44"/>
      <c r="AP65" s="44"/>
    </row>
    <row r="66" ht="42.0" customHeight="1">
      <c r="A66" s="52" t="s">
        <v>63</v>
      </c>
      <c r="B66" s="39" t="s">
        <v>157</v>
      </c>
      <c r="C66" s="40" t="s">
        <v>158</v>
      </c>
      <c r="D66" s="41" t="s">
        <v>42</v>
      </c>
      <c r="E66" s="41" t="s">
        <v>159</v>
      </c>
      <c r="F66" s="42">
        <v>1.0</v>
      </c>
      <c r="G66" s="57">
        <v>0.0</v>
      </c>
      <c r="H66" s="42">
        <v>1.0</v>
      </c>
      <c r="I66" s="43"/>
      <c r="J66" s="42">
        <v>0.0</v>
      </c>
      <c r="K66" s="42">
        <v>1.0</v>
      </c>
      <c r="L66" s="43"/>
      <c r="M66" s="42">
        <v>0.0</v>
      </c>
      <c r="N66" s="42">
        <v>1.0</v>
      </c>
      <c r="O66" s="43"/>
      <c r="P66" s="42">
        <v>0.0</v>
      </c>
      <c r="Q66" s="42">
        <v>1.0</v>
      </c>
      <c r="R66" s="43"/>
      <c r="S66" s="42">
        <v>0.0</v>
      </c>
      <c r="T66" s="42">
        <v>1.0</v>
      </c>
      <c r="U66" s="43"/>
      <c r="V66" s="42">
        <v>0.0</v>
      </c>
      <c r="W66" s="42">
        <v>1.0</v>
      </c>
      <c r="X66" s="43"/>
      <c r="Y66" s="42">
        <v>0.0</v>
      </c>
      <c r="Z66" s="42">
        <v>1.0</v>
      </c>
      <c r="AA66" s="43"/>
      <c r="AB66" s="42">
        <v>0.0</v>
      </c>
      <c r="AC66" s="42">
        <v>1.0</v>
      </c>
      <c r="AD66" s="43"/>
      <c r="AE66" s="42">
        <v>0.0</v>
      </c>
      <c r="AF66" s="42">
        <v>1.0</v>
      </c>
      <c r="AG66" s="43"/>
      <c r="AH66" s="42">
        <v>0.0</v>
      </c>
      <c r="AI66" s="42">
        <v>1.0</v>
      </c>
      <c r="AJ66" s="43"/>
      <c r="AK66" s="42">
        <f t="shared" si="1"/>
        <v>0</v>
      </c>
      <c r="AL66" s="42">
        <f t="shared" si="2"/>
        <v>1</v>
      </c>
      <c r="AM66" s="44"/>
      <c r="AN66" s="44"/>
      <c r="AO66" s="44"/>
      <c r="AP66" s="44"/>
    </row>
    <row r="67" ht="42.0" customHeight="1">
      <c r="A67" s="45"/>
      <c r="B67" s="45"/>
      <c r="C67" s="40" t="s">
        <v>160</v>
      </c>
      <c r="D67" s="41" t="s">
        <v>42</v>
      </c>
      <c r="E67" s="41" t="s">
        <v>159</v>
      </c>
      <c r="F67" s="42">
        <v>1.0</v>
      </c>
      <c r="G67" s="57">
        <v>0.0</v>
      </c>
      <c r="H67" s="42">
        <v>1.0</v>
      </c>
      <c r="I67" s="43"/>
      <c r="J67" s="42">
        <v>0.0</v>
      </c>
      <c r="K67" s="42">
        <v>1.0</v>
      </c>
      <c r="L67" s="43"/>
      <c r="M67" s="42">
        <v>0.0</v>
      </c>
      <c r="N67" s="42">
        <v>1.0</v>
      </c>
      <c r="O67" s="43"/>
      <c r="P67" s="42">
        <v>0.0</v>
      </c>
      <c r="Q67" s="42">
        <v>1.0</v>
      </c>
      <c r="R67" s="43"/>
      <c r="S67" s="42">
        <v>0.0</v>
      </c>
      <c r="T67" s="42">
        <v>1.0</v>
      </c>
      <c r="U67" s="43"/>
      <c r="V67" s="42">
        <v>0.0</v>
      </c>
      <c r="W67" s="42">
        <v>1.0</v>
      </c>
      <c r="X67" s="43"/>
      <c r="Y67" s="42">
        <v>0.0</v>
      </c>
      <c r="Z67" s="42">
        <v>1.0</v>
      </c>
      <c r="AA67" s="43"/>
      <c r="AB67" s="42">
        <v>0.0</v>
      </c>
      <c r="AC67" s="42">
        <v>1.0</v>
      </c>
      <c r="AD67" s="43"/>
      <c r="AE67" s="42">
        <v>0.0</v>
      </c>
      <c r="AF67" s="42">
        <v>1.0</v>
      </c>
      <c r="AG67" s="43"/>
      <c r="AH67" s="42">
        <v>0.0</v>
      </c>
      <c r="AI67" s="42">
        <v>1.0</v>
      </c>
      <c r="AJ67" s="43"/>
      <c r="AK67" s="42">
        <f t="shared" si="1"/>
        <v>0</v>
      </c>
      <c r="AL67" s="42">
        <f t="shared" si="2"/>
        <v>1</v>
      </c>
      <c r="AM67" s="44"/>
      <c r="AN67" s="44"/>
      <c r="AO67" s="44"/>
      <c r="AP67" s="44"/>
    </row>
    <row r="68" ht="42.0" customHeight="1">
      <c r="A68" s="45"/>
      <c r="B68" s="45"/>
      <c r="C68" s="40" t="s">
        <v>161</v>
      </c>
      <c r="D68" s="41" t="s">
        <v>42</v>
      </c>
      <c r="E68" s="41" t="s">
        <v>159</v>
      </c>
      <c r="F68" s="42">
        <v>2.0</v>
      </c>
      <c r="G68" s="57">
        <v>0.0</v>
      </c>
      <c r="H68" s="42">
        <v>2.0</v>
      </c>
      <c r="I68" s="43"/>
      <c r="J68" s="42">
        <v>0.0</v>
      </c>
      <c r="K68" s="42">
        <v>2.0</v>
      </c>
      <c r="L68" s="43"/>
      <c r="M68" s="42">
        <v>0.0</v>
      </c>
      <c r="N68" s="42">
        <v>2.0</v>
      </c>
      <c r="O68" s="43"/>
      <c r="P68" s="42">
        <v>0.0</v>
      </c>
      <c r="Q68" s="42">
        <v>2.0</v>
      </c>
      <c r="R68" s="43"/>
      <c r="S68" s="42">
        <v>0.0</v>
      </c>
      <c r="T68" s="42">
        <v>2.0</v>
      </c>
      <c r="U68" s="43"/>
      <c r="V68" s="42">
        <v>0.0</v>
      </c>
      <c r="W68" s="42">
        <v>2.0</v>
      </c>
      <c r="X68" s="43"/>
      <c r="Y68" s="42">
        <v>0.0</v>
      </c>
      <c r="Z68" s="42">
        <v>2.0</v>
      </c>
      <c r="AA68" s="43"/>
      <c r="AB68" s="42">
        <v>0.0</v>
      </c>
      <c r="AC68" s="42">
        <v>2.0</v>
      </c>
      <c r="AD68" s="43"/>
      <c r="AE68" s="42">
        <v>0.0</v>
      </c>
      <c r="AF68" s="42">
        <v>2.0</v>
      </c>
      <c r="AG68" s="43"/>
      <c r="AH68" s="42">
        <v>0.0</v>
      </c>
      <c r="AI68" s="42">
        <v>2.0</v>
      </c>
      <c r="AJ68" s="43"/>
      <c r="AK68" s="42">
        <f t="shared" si="1"/>
        <v>0</v>
      </c>
      <c r="AL68" s="42">
        <f t="shared" si="2"/>
        <v>2</v>
      </c>
      <c r="AM68" s="44"/>
      <c r="AN68" s="44"/>
      <c r="AO68" s="44"/>
      <c r="AP68" s="44"/>
    </row>
    <row r="69" ht="42.0" customHeight="1">
      <c r="A69" s="45"/>
      <c r="B69" s="45"/>
      <c r="C69" s="40" t="s">
        <v>162</v>
      </c>
      <c r="D69" s="41" t="s">
        <v>42</v>
      </c>
      <c r="E69" s="41" t="s">
        <v>159</v>
      </c>
      <c r="F69" s="42">
        <v>1.0</v>
      </c>
      <c r="G69" s="57">
        <v>0.0</v>
      </c>
      <c r="H69" s="42">
        <v>1.0</v>
      </c>
      <c r="I69" s="43"/>
      <c r="J69" s="42">
        <v>0.0</v>
      </c>
      <c r="K69" s="42">
        <v>1.0</v>
      </c>
      <c r="L69" s="43"/>
      <c r="M69" s="42">
        <v>0.0</v>
      </c>
      <c r="N69" s="42">
        <v>1.0</v>
      </c>
      <c r="O69" s="43"/>
      <c r="P69" s="42">
        <v>0.0</v>
      </c>
      <c r="Q69" s="42">
        <v>1.0</v>
      </c>
      <c r="R69" s="43"/>
      <c r="S69" s="42">
        <v>0.0</v>
      </c>
      <c r="T69" s="42">
        <v>1.0</v>
      </c>
      <c r="U69" s="43"/>
      <c r="V69" s="42">
        <v>0.0</v>
      </c>
      <c r="W69" s="42">
        <v>1.0</v>
      </c>
      <c r="X69" s="43"/>
      <c r="Y69" s="42">
        <v>0.0</v>
      </c>
      <c r="Z69" s="42">
        <v>1.0</v>
      </c>
      <c r="AA69" s="43"/>
      <c r="AB69" s="42">
        <v>0.0</v>
      </c>
      <c r="AC69" s="42">
        <v>1.0</v>
      </c>
      <c r="AD69" s="43"/>
      <c r="AE69" s="42">
        <v>0.0</v>
      </c>
      <c r="AF69" s="42">
        <v>1.0</v>
      </c>
      <c r="AG69" s="43"/>
      <c r="AH69" s="42">
        <v>0.0</v>
      </c>
      <c r="AI69" s="42">
        <v>1.0</v>
      </c>
      <c r="AJ69" s="43"/>
      <c r="AK69" s="42">
        <f t="shared" si="1"/>
        <v>0</v>
      </c>
      <c r="AL69" s="42">
        <f t="shared" si="2"/>
        <v>1</v>
      </c>
      <c r="AM69" s="44"/>
      <c r="AN69" s="44"/>
      <c r="AO69" s="44"/>
      <c r="AP69" s="44"/>
    </row>
    <row r="70" ht="42.0" customHeight="1">
      <c r="A70" s="45"/>
      <c r="B70" s="45"/>
      <c r="C70" s="40" t="s">
        <v>163</v>
      </c>
      <c r="D70" s="41" t="s">
        <v>42</v>
      </c>
      <c r="E70" s="41" t="s">
        <v>159</v>
      </c>
      <c r="F70" s="42">
        <v>1.0</v>
      </c>
      <c r="G70" s="57">
        <v>0.0</v>
      </c>
      <c r="H70" s="42">
        <v>1.0</v>
      </c>
      <c r="I70" s="43"/>
      <c r="J70" s="42">
        <v>0.0</v>
      </c>
      <c r="K70" s="42">
        <v>1.0</v>
      </c>
      <c r="L70" s="43"/>
      <c r="M70" s="42">
        <v>0.0</v>
      </c>
      <c r="N70" s="42">
        <v>1.0</v>
      </c>
      <c r="O70" s="43"/>
      <c r="P70" s="42">
        <v>0.0</v>
      </c>
      <c r="Q70" s="42">
        <v>1.0</v>
      </c>
      <c r="R70" s="43"/>
      <c r="S70" s="42">
        <v>0.0</v>
      </c>
      <c r="T70" s="42">
        <v>1.0</v>
      </c>
      <c r="U70" s="43"/>
      <c r="V70" s="42">
        <v>0.0</v>
      </c>
      <c r="W70" s="42">
        <v>1.0</v>
      </c>
      <c r="X70" s="43"/>
      <c r="Y70" s="42">
        <v>0.0</v>
      </c>
      <c r="Z70" s="42">
        <v>1.0</v>
      </c>
      <c r="AA70" s="43"/>
      <c r="AB70" s="42">
        <v>0.0</v>
      </c>
      <c r="AC70" s="42">
        <v>1.0</v>
      </c>
      <c r="AD70" s="43"/>
      <c r="AE70" s="42">
        <v>0.0</v>
      </c>
      <c r="AF70" s="42">
        <v>1.0</v>
      </c>
      <c r="AG70" s="43"/>
      <c r="AH70" s="42">
        <v>0.0</v>
      </c>
      <c r="AI70" s="42">
        <v>1.0</v>
      </c>
      <c r="AJ70" s="43"/>
      <c r="AK70" s="42">
        <f t="shared" si="1"/>
        <v>0</v>
      </c>
      <c r="AL70" s="42">
        <f t="shared" si="2"/>
        <v>1</v>
      </c>
      <c r="AM70" s="44"/>
      <c r="AN70" s="44"/>
      <c r="AO70" s="44"/>
      <c r="AP70" s="44"/>
    </row>
    <row r="71" ht="42.0" customHeight="1">
      <c r="A71" s="11"/>
      <c r="B71" s="11"/>
      <c r="C71" s="40" t="s">
        <v>164</v>
      </c>
      <c r="D71" s="41" t="s">
        <v>42</v>
      </c>
      <c r="E71" s="41" t="s">
        <v>159</v>
      </c>
      <c r="F71" s="42">
        <v>1.0</v>
      </c>
      <c r="G71" s="42">
        <v>0.0</v>
      </c>
      <c r="H71" s="42">
        <v>1.0</v>
      </c>
      <c r="I71" s="43"/>
      <c r="J71" s="42">
        <v>0.0</v>
      </c>
      <c r="K71" s="42">
        <v>1.0</v>
      </c>
      <c r="L71" s="43"/>
      <c r="M71" s="42">
        <v>0.0</v>
      </c>
      <c r="N71" s="42">
        <v>1.0</v>
      </c>
      <c r="O71" s="43"/>
      <c r="P71" s="42">
        <v>0.0</v>
      </c>
      <c r="Q71" s="42">
        <v>1.0</v>
      </c>
      <c r="R71" s="43"/>
      <c r="S71" s="42">
        <v>0.0</v>
      </c>
      <c r="T71" s="42">
        <v>1.0</v>
      </c>
      <c r="U71" s="43"/>
      <c r="V71" s="42">
        <v>0.0</v>
      </c>
      <c r="W71" s="42">
        <v>1.0</v>
      </c>
      <c r="X71" s="43"/>
      <c r="Y71" s="42">
        <v>0.0</v>
      </c>
      <c r="Z71" s="42">
        <v>1.0</v>
      </c>
      <c r="AA71" s="43"/>
      <c r="AB71" s="42">
        <v>0.0</v>
      </c>
      <c r="AC71" s="42">
        <v>1.0</v>
      </c>
      <c r="AD71" s="43"/>
      <c r="AE71" s="42">
        <v>0.0</v>
      </c>
      <c r="AF71" s="42">
        <v>1.0</v>
      </c>
      <c r="AG71" s="43"/>
      <c r="AH71" s="42">
        <v>0.0</v>
      </c>
      <c r="AI71" s="42">
        <v>1.0</v>
      </c>
      <c r="AJ71" s="43"/>
      <c r="AK71" s="42">
        <f t="shared" si="1"/>
        <v>0</v>
      </c>
      <c r="AL71" s="42">
        <f t="shared" si="2"/>
        <v>1</v>
      </c>
      <c r="AM71" s="44"/>
      <c r="AN71" s="44"/>
      <c r="AO71" s="44"/>
      <c r="AP71" s="44"/>
    </row>
    <row r="72" ht="14.25" customHeight="1">
      <c r="A72" s="59" t="s">
        <v>165</v>
      </c>
      <c r="B72" s="59"/>
      <c r="C72" s="60"/>
      <c r="D72" s="61"/>
      <c r="E72" s="61"/>
      <c r="F72" s="62">
        <f t="shared" ref="F72:H72" si="3">SUM(F6:F71)</f>
        <v>90</v>
      </c>
      <c r="G72" s="62">
        <f t="shared" si="3"/>
        <v>5</v>
      </c>
      <c r="H72" s="62">
        <f t="shared" si="3"/>
        <v>87</v>
      </c>
      <c r="I72" s="62"/>
      <c r="J72" s="62">
        <f t="shared" ref="J72:K72" si="4">SUM(J6:J71)</f>
        <v>11</v>
      </c>
      <c r="K72" s="62">
        <f t="shared" si="4"/>
        <v>80</v>
      </c>
      <c r="L72" s="62"/>
      <c r="M72" s="62">
        <f t="shared" ref="M72:N72" si="5">SUM(M6:M71)</f>
        <v>10</v>
      </c>
      <c r="N72" s="62">
        <f t="shared" si="5"/>
        <v>71</v>
      </c>
      <c r="O72" s="62"/>
      <c r="P72" s="62">
        <f t="shared" ref="P72:Q72" si="6">SUM(P6:P71)</f>
        <v>9</v>
      </c>
      <c r="Q72" s="62">
        <f t="shared" si="6"/>
        <v>62</v>
      </c>
      <c r="R72" s="62"/>
      <c r="S72" s="62">
        <f t="shared" ref="S72:T72" si="7">SUM(S6:S71)</f>
        <v>15</v>
      </c>
      <c r="T72" s="62">
        <f t="shared" si="7"/>
        <v>46</v>
      </c>
      <c r="U72" s="62"/>
      <c r="V72" s="62">
        <f t="shared" ref="V72:W72" si="8">SUM(V6:V71)</f>
        <v>6</v>
      </c>
      <c r="W72" s="62">
        <f t="shared" si="8"/>
        <v>39</v>
      </c>
      <c r="X72" s="62"/>
      <c r="Y72" s="62">
        <f t="shared" ref="Y72:Z72" si="9">SUM(Y6:Y71)</f>
        <v>13</v>
      </c>
      <c r="Z72" s="62">
        <f t="shared" si="9"/>
        <v>31</v>
      </c>
      <c r="AA72" s="62"/>
      <c r="AB72" s="62">
        <f t="shared" ref="AB72:AC72" si="10">SUM(AB6:AB71)</f>
        <v>9</v>
      </c>
      <c r="AC72" s="62">
        <f t="shared" si="10"/>
        <v>22</v>
      </c>
      <c r="AD72" s="62"/>
      <c r="AE72" s="62">
        <f t="shared" ref="AE72:AF72" si="11">SUM(AE6:AE71)</f>
        <v>2</v>
      </c>
      <c r="AF72" s="62">
        <f t="shared" si="11"/>
        <v>21</v>
      </c>
      <c r="AG72" s="62"/>
      <c r="AH72" s="62">
        <f t="shared" ref="AH72:AI72" si="12">SUM(AH6:AH71)</f>
        <v>0</v>
      </c>
      <c r="AI72" s="62">
        <f t="shared" si="12"/>
        <v>21</v>
      </c>
      <c r="AJ72" s="62"/>
      <c r="AK72" s="62">
        <f t="shared" ref="AK72:AL72" si="13">SUM(AK6:AK71)</f>
        <v>80</v>
      </c>
      <c r="AL72" s="62">
        <f t="shared" si="13"/>
        <v>10</v>
      </c>
      <c r="AM72" s="44"/>
      <c r="AN72" s="44"/>
      <c r="AO72" s="44"/>
      <c r="AP72" s="44"/>
    </row>
    <row r="73" ht="15.75" customHeight="1">
      <c r="B73" s="63"/>
      <c r="C73" s="23"/>
    </row>
    <row r="74" ht="15.75" customHeight="1">
      <c r="B74" s="63"/>
      <c r="C74" s="23"/>
    </row>
    <row r="75" ht="15.75" customHeight="1">
      <c r="B75" s="63"/>
      <c r="C75" s="23"/>
    </row>
    <row r="76" ht="15.75" customHeight="1">
      <c r="B76" s="63"/>
      <c r="C76" s="23"/>
    </row>
    <row r="77" ht="15.75" customHeight="1">
      <c r="B77" s="63"/>
      <c r="C77" s="23"/>
    </row>
    <row r="78" ht="15.75" customHeight="1">
      <c r="B78" s="63"/>
      <c r="C78" s="23"/>
    </row>
    <row r="79" ht="15.75" customHeight="1">
      <c r="B79" s="63"/>
      <c r="C79" s="23"/>
    </row>
    <row r="80" ht="15.75" customHeight="1">
      <c r="B80" s="63"/>
      <c r="C80" s="23"/>
    </row>
    <row r="81" ht="15.75" customHeight="1">
      <c r="B81" s="63"/>
      <c r="C81" s="23"/>
    </row>
    <row r="82" ht="15.75" customHeight="1">
      <c r="B82" s="63"/>
      <c r="C82" s="23"/>
    </row>
    <row r="83" ht="15.75" customHeight="1">
      <c r="B83" s="63"/>
      <c r="C83" s="23"/>
    </row>
    <row r="84" ht="15.75" customHeight="1">
      <c r="B84" s="63"/>
      <c r="C84" s="23"/>
    </row>
    <row r="85" ht="15.75" customHeight="1">
      <c r="B85" s="63"/>
      <c r="C85" s="23"/>
    </row>
    <row r="86" ht="15.75" customHeight="1">
      <c r="B86" s="63"/>
      <c r="C86" s="23"/>
    </row>
    <row r="87" ht="15.75" customHeight="1">
      <c r="B87" s="63"/>
      <c r="C87" s="23"/>
    </row>
    <row r="88" ht="15.75" customHeight="1">
      <c r="B88" s="63"/>
      <c r="C88" s="23"/>
    </row>
    <row r="89" ht="15.75" customHeight="1">
      <c r="B89" s="63"/>
      <c r="C89" s="23"/>
    </row>
    <row r="90" ht="15.75" customHeight="1">
      <c r="B90" s="63"/>
      <c r="C90" s="23"/>
    </row>
    <row r="91" ht="15.75" customHeight="1">
      <c r="B91" s="63"/>
      <c r="C91" s="23"/>
    </row>
    <row r="92" ht="15.75" customHeight="1">
      <c r="B92" s="63"/>
      <c r="C92" s="23"/>
    </row>
    <row r="93" ht="15.75" customHeight="1">
      <c r="B93" s="63"/>
      <c r="C93" s="23"/>
    </row>
    <row r="94" ht="15.75" customHeight="1">
      <c r="B94" s="63"/>
      <c r="C94" s="23"/>
    </row>
    <row r="95" ht="15.75" customHeight="1">
      <c r="B95" s="63"/>
      <c r="C95" s="23"/>
    </row>
    <row r="96" ht="15.75" customHeight="1">
      <c r="B96" s="63"/>
      <c r="C96" s="23"/>
    </row>
    <row r="97" ht="15.75" customHeight="1">
      <c r="B97" s="63"/>
      <c r="C97" s="23"/>
    </row>
    <row r="98" ht="15.75" customHeight="1">
      <c r="B98" s="63"/>
      <c r="C98" s="23"/>
    </row>
    <row r="99" ht="15.75" customHeight="1">
      <c r="B99" s="63"/>
      <c r="C99" s="23"/>
    </row>
    <row r="100" ht="15.75" customHeight="1">
      <c r="B100" s="63"/>
      <c r="C100" s="23"/>
    </row>
    <row r="101" ht="15.75" customHeight="1">
      <c r="B101" s="63"/>
      <c r="C101" s="23"/>
    </row>
    <row r="102" ht="15.75" customHeight="1">
      <c r="B102" s="63"/>
      <c r="C102" s="23"/>
    </row>
    <row r="103" ht="15.75" customHeight="1">
      <c r="B103" s="63"/>
      <c r="C103" s="23"/>
    </row>
    <row r="104" ht="15.75" customHeight="1">
      <c r="B104" s="63"/>
      <c r="C104" s="23"/>
    </row>
    <row r="105" ht="15.75" customHeight="1">
      <c r="B105" s="63"/>
      <c r="C105" s="23"/>
    </row>
    <row r="106" ht="15.75" customHeight="1">
      <c r="B106" s="63"/>
      <c r="C106" s="23"/>
    </row>
    <row r="107" ht="15.75" customHeight="1">
      <c r="B107" s="63"/>
      <c r="C107" s="23"/>
    </row>
    <row r="108" ht="15.75" customHeight="1">
      <c r="B108" s="63"/>
      <c r="C108" s="23"/>
    </row>
    <row r="109" ht="15.75" customHeight="1">
      <c r="B109" s="63"/>
      <c r="C109" s="23"/>
    </row>
    <row r="110" ht="15.75" customHeight="1">
      <c r="B110" s="63"/>
      <c r="C110" s="23"/>
    </row>
    <row r="111" ht="15.75" customHeight="1">
      <c r="B111" s="63"/>
      <c r="C111" s="23"/>
    </row>
    <row r="112" ht="15.75" customHeight="1">
      <c r="B112" s="63"/>
      <c r="C112" s="23"/>
    </row>
    <row r="113" ht="15.75" customHeight="1">
      <c r="B113" s="63"/>
      <c r="C113" s="23"/>
    </row>
    <row r="114" ht="15.75" customHeight="1">
      <c r="B114" s="63"/>
      <c r="C114" s="23"/>
    </row>
    <row r="115" ht="15.75" customHeight="1">
      <c r="B115" s="63"/>
      <c r="C115" s="23"/>
    </row>
    <row r="116" ht="15.75" customHeight="1">
      <c r="B116" s="63"/>
      <c r="C116" s="23"/>
    </row>
    <row r="117" ht="15.75" customHeight="1">
      <c r="B117" s="63"/>
      <c r="C117" s="23"/>
    </row>
    <row r="118" ht="15.75" customHeight="1">
      <c r="B118" s="63"/>
      <c r="C118" s="23"/>
    </row>
    <row r="119" ht="15.75" customHeight="1">
      <c r="B119" s="63"/>
      <c r="C119" s="23"/>
    </row>
    <row r="120" ht="15.75" customHeight="1">
      <c r="B120" s="63"/>
      <c r="C120" s="23"/>
    </row>
    <row r="121" ht="15.75" customHeight="1">
      <c r="B121" s="63"/>
      <c r="C121" s="23"/>
    </row>
    <row r="122" ht="15.75" customHeight="1">
      <c r="B122" s="63"/>
      <c r="C122" s="23"/>
    </row>
    <row r="123" ht="15.75" customHeight="1">
      <c r="B123" s="63"/>
      <c r="C123" s="23"/>
    </row>
    <row r="124" ht="15.75" customHeight="1">
      <c r="B124" s="63"/>
      <c r="C124" s="23"/>
    </row>
    <row r="125" ht="15.75" customHeight="1">
      <c r="B125" s="63"/>
      <c r="C125" s="23"/>
    </row>
    <row r="126" ht="15.75" customHeight="1">
      <c r="B126" s="63"/>
      <c r="C126" s="23"/>
    </row>
    <row r="127" ht="15.75" customHeight="1">
      <c r="B127" s="63"/>
      <c r="C127" s="23"/>
    </row>
    <row r="128" ht="15.75" customHeight="1">
      <c r="B128" s="63"/>
      <c r="C128" s="23"/>
    </row>
    <row r="129" ht="15.75" customHeight="1">
      <c r="B129" s="63"/>
      <c r="C129" s="23"/>
    </row>
    <row r="130" ht="15.75" customHeight="1">
      <c r="B130" s="63"/>
      <c r="C130" s="23"/>
    </row>
    <row r="131" ht="15.75" customHeight="1">
      <c r="B131" s="63"/>
      <c r="C131" s="23"/>
    </row>
    <row r="132" ht="15.75" customHeight="1">
      <c r="B132" s="63"/>
      <c r="C132" s="23"/>
    </row>
    <row r="133" ht="15.75" customHeight="1">
      <c r="B133" s="63"/>
      <c r="C133" s="23"/>
    </row>
    <row r="134" ht="15.75" customHeight="1">
      <c r="B134" s="63"/>
      <c r="C134" s="23"/>
    </row>
    <row r="135" ht="15.75" customHeight="1">
      <c r="B135" s="63"/>
      <c r="C135" s="23"/>
    </row>
    <row r="136" ht="15.75" customHeight="1">
      <c r="B136" s="63"/>
      <c r="C136" s="23"/>
    </row>
    <row r="137" ht="15.75" customHeight="1">
      <c r="B137" s="63"/>
      <c r="C137" s="23"/>
    </row>
    <row r="138" ht="15.75" customHeight="1">
      <c r="B138" s="63"/>
      <c r="C138" s="23"/>
    </row>
    <row r="139" ht="15.75" customHeight="1">
      <c r="B139" s="63"/>
      <c r="C139" s="23"/>
    </row>
    <row r="140" ht="15.75" customHeight="1">
      <c r="B140" s="63"/>
      <c r="C140" s="23"/>
    </row>
    <row r="141" ht="15.75" customHeight="1">
      <c r="B141" s="63"/>
      <c r="C141" s="23"/>
    </row>
    <row r="142" ht="15.75" customHeight="1">
      <c r="B142" s="63"/>
      <c r="C142" s="23"/>
    </row>
    <row r="143" ht="15.75" customHeight="1">
      <c r="B143" s="63"/>
      <c r="C143" s="23"/>
    </row>
    <row r="144" ht="15.75" customHeight="1">
      <c r="B144" s="63"/>
      <c r="C144" s="23"/>
    </row>
    <row r="145" ht="15.75" customHeight="1">
      <c r="B145" s="63"/>
      <c r="C145" s="23"/>
    </row>
    <row r="146" ht="15.75" customHeight="1">
      <c r="B146" s="63"/>
      <c r="C146" s="23"/>
    </row>
    <row r="147" ht="15.75" customHeight="1">
      <c r="B147" s="63"/>
      <c r="C147" s="23"/>
    </row>
    <row r="148" ht="15.75" customHeight="1">
      <c r="B148" s="63"/>
      <c r="C148" s="23"/>
    </row>
    <row r="149" ht="15.75" customHeight="1">
      <c r="B149" s="63"/>
      <c r="C149" s="23"/>
    </row>
    <row r="150" ht="15.75" customHeight="1">
      <c r="B150" s="63"/>
      <c r="C150" s="23"/>
    </row>
    <row r="151" ht="15.75" customHeight="1">
      <c r="B151" s="63"/>
      <c r="C151" s="23"/>
    </row>
    <row r="152" ht="15.75" customHeight="1">
      <c r="B152" s="63"/>
      <c r="C152" s="23"/>
    </row>
    <row r="153" ht="15.75" customHeight="1">
      <c r="B153" s="63"/>
      <c r="C153" s="23"/>
    </row>
    <row r="154" ht="15.75" customHeight="1">
      <c r="B154" s="63"/>
      <c r="C154" s="23"/>
    </row>
    <row r="155" ht="15.75" customHeight="1">
      <c r="B155" s="63"/>
      <c r="C155" s="23"/>
    </row>
    <row r="156" ht="15.75" customHeight="1">
      <c r="B156" s="63"/>
      <c r="C156" s="23"/>
    </row>
    <row r="157" ht="15.75" customHeight="1">
      <c r="B157" s="63"/>
      <c r="C157" s="23"/>
    </row>
    <row r="158" ht="15.75" customHeight="1">
      <c r="B158" s="63"/>
      <c r="C158" s="23"/>
    </row>
    <row r="159" ht="15.75" customHeight="1">
      <c r="B159" s="63"/>
      <c r="C159" s="23"/>
    </row>
    <row r="160" ht="15.75" customHeight="1">
      <c r="B160" s="63"/>
      <c r="C160" s="23"/>
    </row>
    <row r="161" ht="15.75" customHeight="1">
      <c r="B161" s="63"/>
      <c r="C161" s="23"/>
    </row>
    <row r="162" ht="15.75" customHeight="1">
      <c r="B162" s="63"/>
      <c r="C162" s="23"/>
    </row>
    <row r="163" ht="15.75" customHeight="1">
      <c r="B163" s="63"/>
      <c r="C163" s="23"/>
    </row>
    <row r="164" ht="15.75" customHeight="1">
      <c r="B164" s="63"/>
      <c r="C164" s="23"/>
    </row>
    <row r="165" ht="15.75" customHeight="1">
      <c r="B165" s="63"/>
      <c r="C165" s="23"/>
    </row>
    <row r="166" ht="15.75" customHeight="1">
      <c r="B166" s="63"/>
      <c r="C166" s="23"/>
    </row>
    <row r="167" ht="15.75" customHeight="1">
      <c r="B167" s="63"/>
      <c r="C167" s="23"/>
    </row>
    <row r="168" ht="15.75" customHeight="1">
      <c r="B168" s="63"/>
      <c r="C168" s="23"/>
    </row>
    <row r="169" ht="15.75" customHeight="1">
      <c r="B169" s="63"/>
      <c r="C169" s="23"/>
    </row>
    <row r="170" ht="15.75" customHeight="1">
      <c r="B170" s="63"/>
      <c r="C170" s="23"/>
    </row>
    <row r="171" ht="15.75" customHeight="1">
      <c r="B171" s="63"/>
      <c r="C171" s="23"/>
    </row>
    <row r="172" ht="15.75" customHeight="1">
      <c r="B172" s="63"/>
      <c r="C172" s="23"/>
    </row>
    <row r="173" ht="15.75" customHeight="1">
      <c r="B173" s="63"/>
      <c r="C173" s="23"/>
    </row>
    <row r="174" ht="15.75" customHeight="1">
      <c r="B174" s="63"/>
      <c r="C174" s="23"/>
    </row>
    <row r="175" ht="15.75" customHeight="1">
      <c r="B175" s="63"/>
      <c r="C175" s="23"/>
    </row>
    <row r="176" ht="15.75" customHeight="1">
      <c r="B176" s="63"/>
      <c r="C176" s="23"/>
    </row>
    <row r="177" ht="15.75" customHeight="1">
      <c r="B177" s="63"/>
      <c r="C177" s="23"/>
    </row>
    <row r="178" ht="15.75" customHeight="1">
      <c r="B178" s="63"/>
      <c r="C178" s="23"/>
    </row>
    <row r="179" ht="15.75" customHeight="1">
      <c r="B179" s="63"/>
      <c r="C179" s="23"/>
    </row>
    <row r="180" ht="15.75" customHeight="1">
      <c r="B180" s="63"/>
      <c r="C180" s="23"/>
    </row>
    <row r="181" ht="15.75" customHeight="1">
      <c r="B181" s="63"/>
      <c r="C181" s="23"/>
    </row>
    <row r="182" ht="15.75" customHeight="1">
      <c r="B182" s="63"/>
      <c r="C182" s="23"/>
    </row>
    <row r="183" ht="15.75" customHeight="1">
      <c r="B183" s="63"/>
      <c r="C183" s="23"/>
    </row>
    <row r="184" ht="15.75" customHeight="1">
      <c r="B184" s="63"/>
      <c r="C184" s="23"/>
    </row>
    <row r="185" ht="15.75" customHeight="1">
      <c r="B185" s="63"/>
      <c r="C185" s="23"/>
    </row>
    <row r="186" ht="15.75" customHeight="1">
      <c r="B186" s="63"/>
      <c r="C186" s="23"/>
    </row>
    <row r="187" ht="15.75" customHeight="1">
      <c r="B187" s="63"/>
      <c r="C187" s="23"/>
    </row>
    <row r="188" ht="15.75" customHeight="1">
      <c r="B188" s="63"/>
      <c r="C188" s="23"/>
    </row>
    <row r="189" ht="15.75" customHeight="1">
      <c r="B189" s="63"/>
      <c r="C189" s="23"/>
    </row>
    <row r="190" ht="15.75" customHeight="1">
      <c r="B190" s="63"/>
      <c r="C190" s="23"/>
    </row>
    <row r="191" ht="15.75" customHeight="1">
      <c r="B191" s="63"/>
      <c r="C191" s="23"/>
    </row>
    <row r="192" ht="15.75" customHeight="1">
      <c r="B192" s="63"/>
      <c r="C192" s="23"/>
    </row>
    <row r="193" ht="15.75" customHeight="1">
      <c r="B193" s="63"/>
      <c r="C193" s="23"/>
    </row>
    <row r="194" ht="15.75" customHeight="1">
      <c r="B194" s="63"/>
      <c r="C194" s="23"/>
    </row>
    <row r="195" ht="15.75" customHeight="1">
      <c r="B195" s="63"/>
      <c r="C195" s="23"/>
    </row>
    <row r="196" ht="15.75" customHeight="1">
      <c r="B196" s="63"/>
      <c r="C196" s="23"/>
    </row>
    <row r="197" ht="15.75" customHeight="1">
      <c r="B197" s="63"/>
      <c r="C197" s="23"/>
    </row>
    <row r="198" ht="15.75" customHeight="1">
      <c r="B198" s="63"/>
      <c r="C198" s="23"/>
    </row>
    <row r="199" ht="15.75" customHeight="1">
      <c r="B199" s="63"/>
      <c r="C199" s="23"/>
    </row>
    <row r="200" ht="15.75" customHeight="1">
      <c r="B200" s="63"/>
      <c r="C200" s="23"/>
    </row>
    <row r="201" ht="15.75" customHeight="1">
      <c r="B201" s="63"/>
      <c r="C201" s="23"/>
    </row>
    <row r="202" ht="15.75" customHeight="1">
      <c r="B202" s="63"/>
      <c r="C202" s="23"/>
    </row>
    <row r="203" ht="15.75" customHeight="1">
      <c r="B203" s="63"/>
      <c r="C203" s="23"/>
    </row>
    <row r="204" ht="15.75" customHeight="1">
      <c r="B204" s="63"/>
      <c r="C204" s="23"/>
    </row>
    <row r="205" ht="15.75" customHeight="1">
      <c r="B205" s="63"/>
      <c r="C205" s="23"/>
    </row>
    <row r="206" ht="15.75" customHeight="1">
      <c r="B206" s="63"/>
      <c r="C206" s="23"/>
    </row>
    <row r="207" ht="15.75" customHeight="1">
      <c r="B207" s="63"/>
      <c r="C207" s="23"/>
    </row>
    <row r="208" ht="15.75" customHeight="1">
      <c r="B208" s="63"/>
      <c r="C208" s="23"/>
    </row>
    <row r="209" ht="15.75" customHeight="1">
      <c r="B209" s="63"/>
      <c r="C209" s="23"/>
    </row>
    <row r="210" ht="15.75" customHeight="1">
      <c r="B210" s="63"/>
      <c r="C210" s="23"/>
    </row>
    <row r="211" ht="15.75" customHeight="1">
      <c r="B211" s="63"/>
      <c r="C211" s="23"/>
    </row>
    <row r="212" ht="15.75" customHeight="1">
      <c r="B212" s="63"/>
      <c r="C212" s="23"/>
    </row>
    <row r="213" ht="15.75" customHeight="1">
      <c r="B213" s="63"/>
      <c r="C213" s="23"/>
    </row>
    <row r="214" ht="15.75" customHeight="1">
      <c r="B214" s="63"/>
      <c r="C214" s="23"/>
    </row>
    <row r="215" ht="15.75" customHeight="1">
      <c r="B215" s="63"/>
      <c r="C215" s="23"/>
    </row>
    <row r="216" ht="15.75" customHeight="1">
      <c r="B216" s="63"/>
      <c r="C216" s="23"/>
    </row>
    <row r="217" ht="15.75" customHeight="1">
      <c r="B217" s="63"/>
      <c r="C217" s="23"/>
    </row>
    <row r="218" ht="15.75" customHeight="1">
      <c r="B218" s="63"/>
      <c r="C218" s="23"/>
    </row>
    <row r="219" ht="15.75" customHeight="1">
      <c r="B219" s="63"/>
      <c r="C219" s="23"/>
    </row>
    <row r="220" ht="15.75" customHeight="1">
      <c r="B220" s="63"/>
      <c r="C220" s="23"/>
    </row>
    <row r="221" ht="15.75" customHeight="1">
      <c r="B221" s="63"/>
      <c r="C221" s="23"/>
    </row>
    <row r="222" ht="15.75" customHeight="1">
      <c r="B222" s="63"/>
      <c r="C222" s="23"/>
    </row>
    <row r="223" ht="15.75" customHeight="1">
      <c r="B223" s="63"/>
      <c r="C223" s="23"/>
    </row>
    <row r="224" ht="15.75" customHeight="1">
      <c r="B224" s="63"/>
      <c r="C224" s="23"/>
    </row>
    <row r="225" ht="15.75" customHeight="1">
      <c r="B225" s="63"/>
      <c r="C225" s="23"/>
    </row>
    <row r="226" ht="15.75" customHeight="1">
      <c r="B226" s="63"/>
      <c r="C226" s="23"/>
    </row>
    <row r="227" ht="15.75" customHeight="1">
      <c r="B227" s="63"/>
      <c r="C227" s="23"/>
    </row>
    <row r="228" ht="15.75" customHeight="1">
      <c r="B228" s="63"/>
      <c r="C228" s="23"/>
    </row>
    <row r="229" ht="15.75" customHeight="1">
      <c r="B229" s="63"/>
      <c r="C229" s="23"/>
    </row>
    <row r="230" ht="15.75" customHeight="1">
      <c r="B230" s="63"/>
      <c r="C230" s="23"/>
    </row>
    <row r="231" ht="15.75" customHeight="1">
      <c r="B231" s="63"/>
      <c r="C231" s="23"/>
    </row>
    <row r="232" ht="15.75" customHeight="1">
      <c r="B232" s="63"/>
      <c r="C232" s="23"/>
    </row>
    <row r="233" ht="15.75" customHeight="1">
      <c r="B233" s="63"/>
      <c r="C233" s="23"/>
    </row>
    <row r="234" ht="15.75" customHeight="1">
      <c r="B234" s="63"/>
      <c r="C234" s="23"/>
    </row>
    <row r="235" ht="15.75" customHeight="1">
      <c r="B235" s="63"/>
      <c r="C235" s="23"/>
    </row>
    <row r="236" ht="15.75" customHeight="1">
      <c r="B236" s="63"/>
      <c r="C236" s="23"/>
    </row>
    <row r="237" ht="15.75" customHeight="1">
      <c r="B237" s="63"/>
      <c r="C237" s="23"/>
    </row>
    <row r="238" ht="15.75" customHeight="1">
      <c r="B238" s="63"/>
      <c r="C238" s="23"/>
    </row>
    <row r="239" ht="15.75" customHeight="1">
      <c r="B239" s="63"/>
      <c r="C239" s="23"/>
    </row>
    <row r="240" ht="15.75" customHeight="1">
      <c r="B240" s="63"/>
      <c r="C240" s="23"/>
    </row>
    <row r="241" ht="15.75" customHeight="1">
      <c r="B241" s="63"/>
      <c r="C241" s="23"/>
    </row>
    <row r="242" ht="15.75" customHeight="1">
      <c r="B242" s="63"/>
      <c r="C242" s="23"/>
    </row>
    <row r="243" ht="15.75" customHeight="1">
      <c r="B243" s="63"/>
      <c r="C243" s="23"/>
    </row>
    <row r="244" ht="15.75" customHeight="1">
      <c r="B244" s="63"/>
      <c r="C244" s="23"/>
    </row>
    <row r="245" ht="15.75" customHeight="1">
      <c r="B245" s="63"/>
      <c r="C245" s="23"/>
    </row>
    <row r="246" ht="15.75" customHeight="1">
      <c r="B246" s="63"/>
      <c r="C246" s="23"/>
    </row>
    <row r="247" ht="15.75" customHeight="1">
      <c r="B247" s="63"/>
      <c r="C247" s="23"/>
    </row>
    <row r="248" ht="15.75" customHeight="1">
      <c r="B248" s="63"/>
      <c r="C248" s="23"/>
    </row>
    <row r="249" ht="15.75" customHeight="1">
      <c r="B249" s="63"/>
      <c r="C249" s="23"/>
    </row>
    <row r="250" ht="15.75" customHeight="1">
      <c r="B250" s="63"/>
      <c r="C250" s="23"/>
    </row>
    <row r="251" ht="15.75" customHeight="1">
      <c r="B251" s="63"/>
      <c r="C251" s="23"/>
    </row>
    <row r="252" ht="15.75" customHeight="1">
      <c r="B252" s="63"/>
      <c r="C252" s="23"/>
    </row>
    <row r="253" ht="15.75" customHeight="1">
      <c r="B253" s="63"/>
      <c r="C253" s="23"/>
    </row>
    <row r="254" ht="15.75" customHeight="1">
      <c r="B254" s="63"/>
      <c r="C254" s="23"/>
    </row>
    <row r="255" ht="15.75" customHeight="1">
      <c r="B255" s="63"/>
      <c r="C255" s="23"/>
    </row>
    <row r="256" ht="15.75" customHeight="1">
      <c r="B256" s="63"/>
      <c r="C256" s="23"/>
    </row>
    <row r="257" ht="15.75" customHeight="1">
      <c r="B257" s="63"/>
      <c r="C257" s="23"/>
    </row>
    <row r="258" ht="15.75" customHeight="1">
      <c r="B258" s="63"/>
      <c r="C258" s="23"/>
    </row>
    <row r="259" ht="15.75" customHeight="1">
      <c r="B259" s="63"/>
      <c r="C259" s="23"/>
    </row>
    <row r="260" ht="15.75" customHeight="1">
      <c r="B260" s="63"/>
      <c r="C260" s="23"/>
    </row>
    <row r="261" ht="15.75" customHeight="1">
      <c r="B261" s="63"/>
      <c r="C261" s="23"/>
    </row>
    <row r="262" ht="15.75" customHeight="1">
      <c r="B262" s="63"/>
      <c r="C262" s="23"/>
    </row>
    <row r="263" ht="15.75" customHeight="1">
      <c r="B263" s="63"/>
      <c r="C263" s="23"/>
    </row>
    <row r="264" ht="15.75" customHeight="1">
      <c r="B264" s="63"/>
      <c r="C264" s="23"/>
    </row>
    <row r="265" ht="15.75" customHeight="1">
      <c r="B265" s="63"/>
      <c r="C265" s="23"/>
    </row>
    <row r="266" ht="15.75" customHeight="1">
      <c r="B266" s="63"/>
      <c r="C266" s="23"/>
    </row>
    <row r="267" ht="15.75" customHeight="1">
      <c r="B267" s="63"/>
      <c r="C267" s="23"/>
    </row>
    <row r="268" ht="15.75" customHeight="1">
      <c r="B268" s="63"/>
      <c r="C268" s="23"/>
    </row>
    <row r="269" ht="15.75" customHeight="1">
      <c r="B269" s="63"/>
      <c r="C269" s="23"/>
    </row>
    <row r="270" ht="15.75" customHeight="1">
      <c r="B270" s="63"/>
      <c r="C270" s="23"/>
    </row>
    <row r="271" ht="15.75" customHeight="1">
      <c r="B271" s="63"/>
      <c r="C271" s="23"/>
    </row>
    <row r="272" ht="15.75" customHeight="1">
      <c r="B272" s="63"/>
      <c r="C272" s="23"/>
    </row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3">
    <mergeCell ref="F4:F5"/>
    <mergeCell ref="G4:I4"/>
    <mergeCell ref="J4:L4"/>
    <mergeCell ref="M4:O4"/>
    <mergeCell ref="P4:R4"/>
    <mergeCell ref="S4:U4"/>
    <mergeCell ref="V4:X4"/>
    <mergeCell ref="Y4:AA4"/>
    <mergeCell ref="AB4:AD4"/>
    <mergeCell ref="AE4:AG4"/>
    <mergeCell ref="AH4:AI4"/>
    <mergeCell ref="AK4:AL4"/>
    <mergeCell ref="A1:F2"/>
    <mergeCell ref="G1:W1"/>
    <mergeCell ref="G2:W3"/>
    <mergeCell ref="A3:F3"/>
    <mergeCell ref="A4:A5"/>
    <mergeCell ref="B4:B5"/>
    <mergeCell ref="C4:C5"/>
    <mergeCell ref="D4:D5"/>
    <mergeCell ref="E4:E5"/>
    <mergeCell ref="A6:A11"/>
    <mergeCell ref="B6:B11"/>
    <mergeCell ref="A12:A17"/>
    <mergeCell ref="B12:B17"/>
    <mergeCell ref="B18:B23"/>
    <mergeCell ref="A18:A23"/>
    <mergeCell ref="A24:A29"/>
    <mergeCell ref="B24:B29"/>
    <mergeCell ref="A30:A35"/>
    <mergeCell ref="B30:B35"/>
    <mergeCell ref="A36:A41"/>
    <mergeCell ref="B36:B41"/>
    <mergeCell ref="A60:A65"/>
    <mergeCell ref="A66:A71"/>
    <mergeCell ref="A42:A47"/>
    <mergeCell ref="B42:B47"/>
    <mergeCell ref="A48:A53"/>
    <mergeCell ref="B48:B53"/>
    <mergeCell ref="A54:A59"/>
    <mergeCell ref="B54:B59"/>
    <mergeCell ref="B60:B65"/>
    <mergeCell ref="B66:B71"/>
  </mergeCells>
  <dataValidations>
    <dataValidation type="list" allowBlank="1" sqref="E6:E72">
      <formula1>"Por iniciar,En proceso,Hecho,Bloqueado"</formula1>
    </dataValidation>
    <dataValidation type="list" allowBlank="1" sqref="D6:D72">
      <formula1>"Martín Rodríguez,Jesús Lozano,Andrés Alvarado"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44.0"/>
    <col customWidth="1" min="3" max="3" width="12.0"/>
    <col customWidth="1" min="4" max="4" width="16.0"/>
    <col customWidth="1" min="5" max="5" width="26.0"/>
    <col customWidth="1" min="6" max="6" width="20.0"/>
    <col customWidth="1" min="7" max="7" width="16.0"/>
    <col customWidth="1" min="8" max="8" width="14.0"/>
  </cols>
  <sheetData>
    <row r="1" ht="14.25" customHeight="1">
      <c r="A1" s="1" t="s">
        <v>0</v>
      </c>
      <c r="B1" s="3"/>
      <c r="C1" s="3"/>
      <c r="D1" s="3"/>
      <c r="E1" s="3"/>
      <c r="F1" s="3"/>
      <c r="G1" s="3"/>
      <c r="H1" s="4"/>
    </row>
    <row r="2" ht="15.0" customHeight="1">
      <c r="A2" s="6"/>
      <c r="B2" s="8"/>
      <c r="C2" s="8"/>
      <c r="D2" s="8"/>
      <c r="E2" s="8"/>
      <c r="F2" s="8"/>
      <c r="G2" s="8"/>
      <c r="H2" s="11"/>
    </row>
    <row r="3" ht="37.5" customHeight="1">
      <c r="A3" s="13" t="s">
        <v>4</v>
      </c>
    </row>
    <row r="4" ht="14.25" customHeight="1">
      <c r="A4" s="15"/>
      <c r="B4" s="15"/>
      <c r="C4" s="15"/>
      <c r="D4" s="15"/>
      <c r="E4" s="15"/>
      <c r="F4" s="15"/>
      <c r="G4" s="15"/>
    </row>
    <row r="5" ht="39.75" customHeight="1">
      <c r="A5" s="18" t="s">
        <v>13</v>
      </c>
      <c r="B5" s="18" t="s">
        <v>17</v>
      </c>
      <c r="C5" s="18" t="s">
        <v>20</v>
      </c>
      <c r="D5" s="18" t="s">
        <v>22</v>
      </c>
      <c r="E5" s="19" t="s">
        <v>25</v>
      </c>
      <c r="F5" s="18" t="s">
        <v>29</v>
      </c>
      <c r="G5" s="18" t="s">
        <v>31</v>
      </c>
    </row>
    <row r="6" ht="14.25" customHeight="1">
      <c r="A6" s="21" t="s">
        <v>35</v>
      </c>
      <c r="B6" s="21" t="s">
        <v>36</v>
      </c>
      <c r="C6" s="21">
        <v>1.0</v>
      </c>
      <c r="D6" s="21" t="s">
        <v>37</v>
      </c>
      <c r="E6" s="22" t="s">
        <v>38</v>
      </c>
      <c r="F6" s="23" t="s">
        <v>38</v>
      </c>
      <c r="G6" s="23">
        <v>27.0</v>
      </c>
    </row>
    <row r="7" ht="14.25" customHeight="1">
      <c r="A7" s="21" t="s">
        <v>39</v>
      </c>
      <c r="B7" s="21" t="s">
        <v>41</v>
      </c>
      <c r="C7" s="21">
        <v>2.0</v>
      </c>
      <c r="D7" s="21" t="s">
        <v>37</v>
      </c>
      <c r="E7" s="22" t="s">
        <v>38</v>
      </c>
      <c r="F7" s="23" t="s">
        <v>42</v>
      </c>
      <c r="G7" s="23">
        <v>32.0</v>
      </c>
    </row>
    <row r="8" ht="14.25" customHeight="1">
      <c r="A8" s="21" t="s">
        <v>43</v>
      </c>
      <c r="B8" s="21" t="s">
        <v>44</v>
      </c>
      <c r="C8" s="21">
        <v>3.0</v>
      </c>
      <c r="D8" s="21" t="s">
        <v>37</v>
      </c>
      <c r="E8" s="22" t="s">
        <v>42</v>
      </c>
      <c r="F8" s="23" t="s">
        <v>45</v>
      </c>
      <c r="G8" s="23">
        <v>31.0</v>
      </c>
    </row>
    <row r="9" ht="14.25" customHeight="1">
      <c r="A9" s="21" t="s">
        <v>46</v>
      </c>
      <c r="B9" s="21" t="s">
        <v>47</v>
      </c>
      <c r="C9" s="21">
        <v>4.0</v>
      </c>
      <c r="D9" s="21" t="s">
        <v>37</v>
      </c>
      <c r="E9" s="22" t="s">
        <v>45</v>
      </c>
      <c r="F9" s="23" t="s">
        <v>33</v>
      </c>
      <c r="G9" s="23">
        <v>90.0</v>
      </c>
    </row>
    <row r="10" ht="14.25" customHeight="1">
      <c r="A10" s="21" t="s">
        <v>48</v>
      </c>
      <c r="B10" s="21" t="s">
        <v>49</v>
      </c>
      <c r="C10" s="21">
        <v>5.0</v>
      </c>
      <c r="D10" s="21" t="s">
        <v>37</v>
      </c>
      <c r="E10" s="22" t="s">
        <v>45</v>
      </c>
      <c r="F10" s="15"/>
      <c r="G10" s="15"/>
    </row>
    <row r="11" ht="14.25" customHeight="1">
      <c r="A11" s="21" t="s">
        <v>50</v>
      </c>
      <c r="B11" s="21" t="s">
        <v>51</v>
      </c>
      <c r="C11" s="21">
        <v>6.0</v>
      </c>
      <c r="D11" s="21" t="s">
        <v>37</v>
      </c>
      <c r="E11" s="22" t="s">
        <v>42</v>
      </c>
      <c r="F11" s="15"/>
      <c r="G11" s="15"/>
    </row>
    <row r="12" ht="14.25" customHeight="1">
      <c r="A12" s="21" t="s">
        <v>53</v>
      </c>
      <c r="B12" s="21" t="s">
        <v>54</v>
      </c>
      <c r="C12" s="21">
        <v>7.0</v>
      </c>
      <c r="D12" s="21" t="s">
        <v>37</v>
      </c>
      <c r="E12" s="22" t="s">
        <v>42</v>
      </c>
      <c r="F12" s="15"/>
      <c r="G12" s="15"/>
    </row>
    <row r="13" ht="14.25" customHeight="1">
      <c r="A13" s="21" t="s">
        <v>55</v>
      </c>
      <c r="B13" s="21" t="s">
        <v>56</v>
      </c>
      <c r="C13" s="21">
        <v>8.0</v>
      </c>
      <c r="D13" s="21" t="s">
        <v>37</v>
      </c>
      <c r="E13" s="22" t="s">
        <v>45</v>
      </c>
      <c r="F13" s="15"/>
      <c r="G13" s="15"/>
    </row>
    <row r="14" ht="14.25" customHeight="1">
      <c r="A14" s="21" t="s">
        <v>57</v>
      </c>
      <c r="B14" s="21" t="s">
        <v>59</v>
      </c>
      <c r="C14" s="21">
        <v>9.0</v>
      </c>
      <c r="D14" s="21" t="s">
        <v>37</v>
      </c>
      <c r="E14" s="22" t="s">
        <v>45</v>
      </c>
      <c r="F14" s="15"/>
      <c r="G14" s="15"/>
    </row>
    <row r="15" ht="14.25" customHeight="1">
      <c r="A15" s="21" t="s">
        <v>60</v>
      </c>
      <c r="B15" s="21" t="s">
        <v>61</v>
      </c>
      <c r="C15" s="21">
        <v>10.0</v>
      </c>
      <c r="D15" s="21" t="s">
        <v>37</v>
      </c>
      <c r="E15" s="22" t="s">
        <v>38</v>
      </c>
      <c r="F15" s="15"/>
      <c r="G15" s="15"/>
    </row>
    <row r="16" ht="14.25" customHeight="1">
      <c r="A16" s="21" t="s">
        <v>63</v>
      </c>
      <c r="B16" s="21" t="s">
        <v>64</v>
      </c>
      <c r="C16" s="21">
        <v>11.0</v>
      </c>
      <c r="D16" s="21" t="s">
        <v>37</v>
      </c>
      <c r="E16" s="22" t="s">
        <v>42</v>
      </c>
      <c r="F16" s="15"/>
      <c r="G16" s="15"/>
    </row>
    <row r="17" ht="14.25" customHeight="1">
      <c r="A17" s="21"/>
      <c r="B17" s="21"/>
      <c r="C17" s="21"/>
      <c r="D17" s="21"/>
      <c r="E17" s="15"/>
      <c r="F17" s="15"/>
      <c r="G17" s="15"/>
    </row>
    <row r="18" ht="14.25" customHeight="1">
      <c r="A18" s="21"/>
      <c r="B18" s="21"/>
      <c r="C18" s="21"/>
      <c r="D18" s="21"/>
      <c r="E18" s="15"/>
      <c r="F18" s="15"/>
      <c r="G18" s="15"/>
    </row>
    <row r="19" ht="15.75" customHeight="1">
      <c r="A19" s="27" t="s">
        <v>66</v>
      </c>
      <c r="B19" s="9"/>
      <c r="C19" s="9"/>
      <c r="D19" s="9"/>
      <c r="E19" s="9"/>
      <c r="F19" s="9"/>
      <c r="G19" s="9"/>
      <c r="H19" s="10"/>
    </row>
    <row r="20" ht="15.75" customHeight="1">
      <c r="A20" s="28" t="s">
        <v>69</v>
      </c>
      <c r="B20" s="29" t="s">
        <v>71</v>
      </c>
    </row>
    <row r="21">
      <c r="A21" s="30" t="s">
        <v>72</v>
      </c>
      <c r="B21" s="23" t="s">
        <v>73</v>
      </c>
    </row>
    <row r="22">
      <c r="A22" s="30" t="s">
        <v>20</v>
      </c>
      <c r="B22" s="23" t="s">
        <v>75</v>
      </c>
    </row>
    <row r="23">
      <c r="A23" s="30" t="s">
        <v>76</v>
      </c>
      <c r="B23" s="23" t="s">
        <v>77</v>
      </c>
    </row>
    <row r="24">
      <c r="A24" s="30" t="s">
        <v>79</v>
      </c>
      <c r="B24" s="23" t="s">
        <v>80</v>
      </c>
    </row>
    <row r="25" ht="14.25" customHeight="1">
      <c r="A25" s="30"/>
      <c r="B25" s="2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</sheetData>
  <mergeCells count="9">
    <mergeCell ref="B24:H24"/>
    <mergeCell ref="B25:H25"/>
    <mergeCell ref="A1:H2"/>
    <mergeCell ref="A3:H3"/>
    <mergeCell ref="A19:H19"/>
    <mergeCell ref="B20:H20"/>
    <mergeCell ref="B21:H21"/>
    <mergeCell ref="B22:H22"/>
    <mergeCell ref="B23:H2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82.0"/>
    <col customWidth="1" min="3" max="6" width="8.63"/>
  </cols>
  <sheetData>
    <row r="1" ht="14.25" customHeight="1">
      <c r="A1" s="5" t="s">
        <v>1</v>
      </c>
      <c r="B1" s="9"/>
      <c r="C1" s="10"/>
    </row>
    <row r="2" ht="14.25" customHeight="1">
      <c r="A2" s="12" t="s">
        <v>3</v>
      </c>
    </row>
    <row r="3" ht="14.25" customHeight="1"/>
    <row r="4" ht="33.75" customHeight="1">
      <c r="A4" s="14" t="s">
        <v>5</v>
      </c>
      <c r="B4" s="14" t="s">
        <v>7</v>
      </c>
    </row>
    <row r="5" ht="33.75" customHeight="1">
      <c r="A5" s="16" t="s">
        <v>8</v>
      </c>
      <c r="B5" s="16" t="s">
        <v>9</v>
      </c>
    </row>
    <row r="6" ht="33.75" customHeight="1">
      <c r="A6" s="16" t="s">
        <v>10</v>
      </c>
      <c r="B6" s="16" t="s">
        <v>11</v>
      </c>
    </row>
    <row r="7" ht="14.25" customHeight="1">
      <c r="A7" s="16" t="s">
        <v>12</v>
      </c>
      <c r="B7" s="16" t="s">
        <v>14</v>
      </c>
    </row>
    <row r="8" ht="33.75" customHeight="1">
      <c r="A8" s="16" t="s">
        <v>15</v>
      </c>
      <c r="B8" s="16" t="s">
        <v>16</v>
      </c>
    </row>
    <row r="9" ht="33.75" customHeight="1">
      <c r="A9" s="16" t="s">
        <v>18</v>
      </c>
      <c r="B9" s="16" t="s">
        <v>19</v>
      </c>
    </row>
    <row r="10" ht="33.75" customHeight="1">
      <c r="A10" s="16" t="s">
        <v>21</v>
      </c>
      <c r="B10" s="16" t="s">
        <v>23</v>
      </c>
    </row>
    <row r="11" ht="33.75" customHeight="1">
      <c r="A11" s="16" t="s">
        <v>24</v>
      </c>
      <c r="B11" s="16" t="s">
        <v>26</v>
      </c>
    </row>
    <row r="12" ht="33.75" customHeight="1">
      <c r="A12" s="16" t="s">
        <v>27</v>
      </c>
      <c r="B12" s="16" t="s">
        <v>28</v>
      </c>
    </row>
    <row r="13" ht="33.75" customHeight="1">
      <c r="A13" s="16" t="s">
        <v>30</v>
      </c>
      <c r="B13" s="16" t="s">
        <v>32</v>
      </c>
    </row>
    <row r="14" ht="33.75" customHeight="1">
      <c r="A14" s="16" t="s">
        <v>33</v>
      </c>
      <c r="B14" s="16" t="s">
        <v>34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C1"/>
    <mergeCell ref="A2:C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2026-10-10T12:57:40Z</dcterms:created>
  <dc:creator>Jesús Lozano Alvarez</dc:creator>
</cp:coreProperties>
</file>