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71" documentId="8_{2EFDF332-31E9-4C74-A6B5-E695634C1C45}" xr6:coauthVersionLast="47" xr6:coauthVersionMax="47" xr10:uidLastSave="{E305FBF4-C6C4-4E11-AF9C-46D4E4623657}"/>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<sst xmlns="http://schemas.openxmlformats.org/spreadsheetml/2006/main" count="157" uniqueCount="98">
  <si>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</si>
  <si>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</si>
  <si>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</si>
  <si>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LOZANO ALVAREZ JESUS GILBERTO</t>
  </si>
  <si>
    <t>RODRIGUEZ CID MARTIN IGNACIO ENRIQUE</t>
  </si>
  <si>
    <t>ALVARADO OLGUIN ANDRES ALONSO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</si>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</sst>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EVALUACION1!$C$24</f>
        <v>5.6</v>
      </c>
      <c r="D4" s="6">
        <f>$C$35</f>
        <v>7</v>
      </c>
      <c r="E4" s="42">
        <f>C4*C$2+D4*D$2</f>
        <v>5.9499999999999993</v>
      </c>
      <c r="G4" s="1"/>
    </row>
    <row r="5" spans="1:11">
      <c r="A5" s="5">
        <v>2</v>
      </c>
      <c r="B5" s="67" t="s">
        <v>4</v>
      </c>
      <c r="C5" s="6">
        <f>EVALUACION1!$C$24</f>
        <v>5.6</v>
      </c>
      <c r="D5" s="6">
        <f>C47</f>
        <v>7</v>
      </c>
      <c r="E5" s="42">
        <f t="shared" ref="E5:E6" si="0">C5*C$2+D5*D$2</f>
        <v>5.9499999999999993</v>
      </c>
      <c r="G5" s="1"/>
    </row>
    <row r="6" spans="1:11">
      <c r="A6" s="5">
        <v>3</v>
      </c>
      <c r="B6" s="67" t="s">
        <v>5</v>
      </c>
      <c r="C6" s="6">
        <f>EVALUACION1!$C$24</f>
        <v>5.6</v>
      </c>
      <c r="D6" s="6">
        <f>C58</f>
        <v>7</v>
      </c>
      <c r="E6" s="42">
        <f t="shared" si="0"/>
        <v>5.9499999999999993</v>
      </c>
      <c r="G6" s="1"/>
    </row>
    <row r="11" spans="1:11" ht="18.75" outlineLevel="1">
      <c r="A11" s="54" t="s">
        <v>6</v>
      </c>
      <c r="B11" s="14"/>
      <c r="C11" s="50" t="s">
        <v>7</v>
      </c>
      <c r="D11" s="51" t="s">
        <v>8</v>
      </c>
      <c r="E11" s="69"/>
      <c r="F11" s="69"/>
      <c r="G11" s="69"/>
      <c r="H11" s="69"/>
      <c r="I11" s="69"/>
      <c r="J11" s="69"/>
      <c r="K11" s="70"/>
    </row>
    <row r="12" spans="1:11" outlineLevel="1">
      <c r="A12" s="71"/>
      <c r="B12" s="24" t="s">
        <v>9</v>
      </c>
      <c r="C12" s="68"/>
      <c r="D12" s="51" t="s">
        <v>10</v>
      </c>
      <c r="E12" s="70"/>
      <c r="F12" s="51" t="s">
        <v>11</v>
      </c>
      <c r="G12" s="70"/>
      <c r="H12" s="51" t="s">
        <v>12</v>
      </c>
      <c r="I12" s="70"/>
      <c r="J12" s="51"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10</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13</v>
      </c>
      <c r="D19" s="16" t="str">
        <f t="shared" si="12"/>
        <v/>
      </c>
      <c r="E19" s="16" t="str">
        <f>IF(D19="X",100*0.05,"")</f>
        <v/>
      </c>
      <c r="F19" s="16" t="str">
        <f t="shared" si="14"/>
        <v/>
      </c>
      <c r="G19" s="16" t="str">
        <f t="shared" ref="G19" si="23">IF(F19="X",60*0.05,"")</f>
        <v/>
      </c>
      <c r="H19" s="16" t="str">
        <f t="shared" si="16"/>
        <v/>
      </c>
      <c r="I19" s="16" t="str">
        <f t="shared" ref="I19" si="24">IF(H19="X",30*0.05,"")</f>
        <v/>
      </c>
      <c r="J19" s="16" t="str">
        <f t="shared" si="18"/>
        <v>X</v>
      </c>
      <c r="K19" s="16">
        <f t="shared" si="19"/>
        <v>0</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57</v>
      </c>
      <c r="D23" s="19"/>
      <c r="E23" s="19">
        <f>SUM(E13:E22)</f>
        <v>45</v>
      </c>
      <c r="F23" s="19"/>
      <c r="G23" s="19">
        <f>SUM(G13:G22)</f>
        <v>12</v>
      </c>
      <c r="H23" s="19"/>
      <c r="I23" s="19">
        <f>SUM(I13:I22)</f>
        <v>0</v>
      </c>
      <c r="J23" s="19"/>
      <c r="K23" s="19">
        <f>SUM(K13:K22)</f>
        <v>0</v>
      </c>
    </row>
    <row r="24" spans="1:11" ht="15.75" customHeight="1" outlineLevel="1">
      <c r="A24" s="68"/>
      <c r="B24" s="35" t="s">
        <v>15</v>
      </c>
      <c r="C24" s="20">
        <f>VLOOKUP(C23,ESCALA_IEP!A2:B142,2,FALSE)</f>
        <v>5.6</v>
      </c>
    </row>
    <row r="25" spans="1:11" ht="15.75" customHeight="1"/>
    <row r="26" spans="1:11" ht="15.75" customHeight="1"/>
    <row r="27" spans="1:11" ht="15.75" customHeight="1">
      <c r="A27" s="52" t="s">
        <v>16</v>
      </c>
      <c r="B27" s="48" t="s">
        <v>17</v>
      </c>
      <c r="C27" s="49" t="str">
        <f>$B$4</f>
        <v>LOZANO ALVAREZ JESUS GILBERTO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7</v>
      </c>
      <c r="D29" s="51" t="s">
        <v>8</v>
      </c>
      <c r="E29" s="69"/>
      <c r="F29" s="69"/>
      <c r="G29" s="69"/>
      <c r="H29" s="69"/>
      <c r="I29" s="69"/>
      <c r="J29" s="69"/>
      <c r="K29" s="70"/>
    </row>
    <row r="30" spans="1:11" ht="15.75" customHeight="1">
      <c r="A30" s="71"/>
      <c r="B30" s="15" t="s">
        <v>9</v>
      </c>
      <c r="C30" s="68"/>
      <c r="D30" s="51" t="s">
        <v>10</v>
      </c>
      <c r="E30" s="70"/>
      <c r="F30" s="51" t="s">
        <v>11</v>
      </c>
      <c r="G30" s="70"/>
      <c r="H30" s="51" t="s">
        <v>19</v>
      </c>
      <c r="I30" s="70"/>
      <c r="J30" s="51"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2" t="s">
        <v>16</v>
      </c>
      <c r="B39" s="48" t="s">
        <v>17</v>
      </c>
      <c r="C39" s="49" t="str">
        <f>B5</f>
        <v>RODRIGUEZ CID MARTIN IGNACIO ENRIQUE</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7</v>
      </c>
      <c r="D41" s="51" t="s">
        <v>8</v>
      </c>
      <c r="E41" s="69"/>
      <c r="F41" s="69"/>
      <c r="G41" s="69"/>
      <c r="H41" s="69"/>
      <c r="I41" s="69"/>
      <c r="J41" s="69"/>
      <c r="K41" s="70"/>
    </row>
    <row r="42" spans="1:11" ht="15.75" customHeight="1">
      <c r="A42" s="71"/>
      <c r="B42" s="15" t="s">
        <v>9</v>
      </c>
      <c r="C42" s="68"/>
      <c r="D42" s="51" t="s">
        <v>10</v>
      </c>
      <c r="E42" s="70"/>
      <c r="F42" s="51" t="s">
        <v>11</v>
      </c>
      <c r="G42" s="70"/>
      <c r="H42" s="51" t="s">
        <v>19</v>
      </c>
      <c r="I42" s="70"/>
      <c r="J42" s="51"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2" t="s">
        <v>16</v>
      </c>
      <c r="B50" s="48" t="s">
        <v>17</v>
      </c>
      <c r="C50" s="49" t="str">
        <f>B6</f>
        <v>ALVARADO OLGUIN ANDRES ALONSO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7</v>
      </c>
      <c r="D52" s="51" t="s">
        <v>8</v>
      </c>
      <c r="E52" s="69"/>
      <c r="F52" s="69"/>
      <c r="G52" s="69"/>
      <c r="H52" s="69"/>
      <c r="I52" s="69"/>
      <c r="J52" s="69"/>
      <c r="K52" s="70"/>
    </row>
    <row r="53" spans="1:11" ht="15.75" customHeight="1">
      <c r="A53" s="71"/>
      <c r="B53" s="15" t="s">
        <v>9</v>
      </c>
      <c r="C53" s="68"/>
      <c r="D53" s="51" t="s">
        <v>10</v>
      </c>
      <c r="E53" s="70"/>
      <c r="F53" s="51" t="s">
        <v>11</v>
      </c>
      <c r="G53" s="70"/>
      <c r="H53" s="51" t="s">
        <v>19</v>
      </c>
      <c r="I53" s="70"/>
      <c r="J53" s="51"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13</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2026-09-09T17:26:45Z</dcterms:modified>
  <cp:category/>
  <cp:contentStatus/>
</cp:coreProperties>
</file>